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matthew_r_beck_usda_gov/Documents/Manuscripts and 115 forms/2024/variation in DMI relationship with performance/"/>
    </mc:Choice>
  </mc:AlternateContent>
  <xr:revisionPtr revIDLastSave="46" documentId="8_{AEE3A6C7-78E2-4E15-9A49-FAA321E8D2C3}" xr6:coauthVersionLast="47" xr6:coauthVersionMax="47" xr10:uidLastSave="{A1E8F0C8-28B9-49A5-A13C-C542D26EED12}"/>
  <bookViews>
    <workbookView xWindow="-120" yWindow="-120" windowWidth="25440" windowHeight="15390" xr2:uid="{00000000-000D-0000-FFFF-FFFF00000000}"/>
  </bookViews>
  <sheets>
    <sheet name="READ_ME" sheetId="3" r:id="rId1"/>
    <sheet name="All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6" i="1"/>
  <c r="Y37" i="1"/>
  <c r="Y38" i="1"/>
  <c r="Y39" i="1"/>
  <c r="Y40" i="1"/>
  <c r="Y41" i="1"/>
  <c r="Y42" i="1"/>
  <c r="Y43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1" i="1"/>
  <c r="Y132" i="1"/>
  <c r="Y133" i="1"/>
  <c r="Y135" i="1"/>
  <c r="Y136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T57" i="1" l="1"/>
  <c r="Y57" i="1" s="1"/>
  <c r="T56" i="1"/>
  <c r="Y56" i="1" s="1"/>
  <c r="T55" i="1"/>
  <c r="Y55" i="1" s="1"/>
  <c r="T54" i="1"/>
  <c r="Y54" i="1" s="1"/>
  <c r="T53" i="1"/>
  <c r="Y53" i="1" s="1"/>
  <c r="T52" i="1"/>
  <c r="Y52" i="1" s="1"/>
  <c r="T51" i="1"/>
  <c r="Y51" i="1" s="1"/>
  <c r="T50" i="1"/>
  <c r="Y50" i="1" s="1"/>
  <c r="T49" i="1"/>
  <c r="Y49" i="1" s="1"/>
  <c r="T48" i="1"/>
  <c r="Y48" i="1" s="1"/>
  <c r="T47" i="1"/>
  <c r="Y47" i="1" s="1"/>
  <c r="T46" i="1"/>
  <c r="Y46" i="1" s="1"/>
  <c r="T45" i="1"/>
  <c r="Y45" i="1" s="1"/>
  <c r="T44" i="1"/>
  <c r="Y44" i="1" s="1"/>
  <c r="Y2" i="1"/>
</calcChain>
</file>

<file path=xl/sharedStrings.xml><?xml version="1.0" encoding="utf-8"?>
<sst xmlns="http://schemas.openxmlformats.org/spreadsheetml/2006/main" count="472" uniqueCount="209">
  <si>
    <t>TAG</t>
  </si>
  <si>
    <t>TRT</t>
  </si>
  <si>
    <t>int.BW</t>
  </si>
  <si>
    <t>fin.BW</t>
  </si>
  <si>
    <t>av.BW</t>
  </si>
  <si>
    <t>av.BW^0.75</t>
  </si>
  <si>
    <t>ADG</t>
  </si>
  <si>
    <t>DMI</t>
  </si>
  <si>
    <t>G:F</t>
  </si>
  <si>
    <t>Euclid.sum</t>
  </si>
  <si>
    <t>CV</t>
  </si>
  <si>
    <t>pred.DMI</t>
  </si>
  <si>
    <t>RFI</t>
  </si>
  <si>
    <t>pred.ADG</t>
  </si>
  <si>
    <t>RADG</t>
  </si>
  <si>
    <t>2</t>
  </si>
  <si>
    <t>20MB</t>
  </si>
  <si>
    <t>3</t>
  </si>
  <si>
    <t>10MB</t>
  </si>
  <si>
    <t>4</t>
  </si>
  <si>
    <t>CON</t>
  </si>
  <si>
    <t>5</t>
  </si>
  <si>
    <t>7</t>
  </si>
  <si>
    <t>8</t>
  </si>
  <si>
    <t>9</t>
  </si>
  <si>
    <t>12</t>
  </si>
  <si>
    <t>13</t>
  </si>
  <si>
    <t>14</t>
  </si>
  <si>
    <t>15</t>
  </si>
  <si>
    <t>18</t>
  </si>
  <si>
    <t>19</t>
  </si>
  <si>
    <t>22</t>
  </si>
  <si>
    <t>23</t>
  </si>
  <si>
    <t>24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</si>
  <si>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</si>
  <si>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</si>
  <si>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</si>
  <si>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</si>
  <si>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</si>
  <si>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</si>
  <si>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</si>
  <si>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</si>
  <si>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</si>
  <si>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</si>
  <si>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</si>
  <si>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</si>
  <si>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</si>
  <si>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</si>
  <si>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</si>
  <si>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44</t>
  </si>
  <si>
    <t>45</t>
  </si>
  <si>
    <t>46</t>
  </si>
  <si>
    <t>47</t>
  </si>
  <si>
    <t>49</t>
  </si>
  <si>
    <t>50</t>
  </si>
  <si>
    <t>52</t>
  </si>
  <si>
    <t>53</t>
  </si>
  <si>
    <t>54</t>
  </si>
  <si>
    <t>55</t>
  </si>
  <si>
    <t>57</t>
  </si>
  <si>
    <t>7201</t>
  </si>
  <si>
    <t>Neutral</t>
  </si>
  <si>
    <t>7203</t>
  </si>
  <si>
    <t>7204</t>
  </si>
  <si>
    <t>High</t>
  </si>
  <si>
    <t>7205</t>
  </si>
  <si>
    <t>7206</t>
  </si>
  <si>
    <t>7207</t>
  </si>
  <si>
    <t>7208</t>
  </si>
  <si>
    <t>Low</t>
  </si>
  <si>
    <t>7210</t>
  </si>
  <si>
    <t>7212</t>
  </si>
  <si>
    <t>7213</t>
  </si>
  <si>
    <t>7214</t>
  </si>
  <si>
    <t>7217</t>
  </si>
  <si>
    <t>7220</t>
  </si>
  <si>
    <t>7223</t>
  </si>
  <si>
    <t>7224</t>
  </si>
  <si>
    <t>7225</t>
  </si>
  <si>
    <t>7226</t>
  </si>
  <si>
    <t>7227</t>
  </si>
  <si>
    <t>7228</t>
  </si>
  <si>
    <t>7229</t>
  </si>
  <si>
    <t>7230</t>
  </si>
  <si>
    <t>7232</t>
  </si>
  <si>
    <t>7233</t>
  </si>
  <si>
    <t>7234</t>
  </si>
  <si>
    <t>7236</t>
  </si>
  <si>
    <t>7237</t>
  </si>
  <si>
    <t>7238</t>
  </si>
  <si>
    <t>7239</t>
  </si>
  <si>
    <t>7240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</si>
  <si>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</si>
  <si>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</si>
  <si>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</si>
  <si>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</si>
  <si>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</si>
  <si>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</si>
  <si>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</si>
  <si>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</si>
  <si>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</si>
  <si>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</si>
  <si>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</si>
  <si>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7273</t>
  </si>
  <si>
    <t>7274</t>
  </si>
  <si>
    <t>7275</t>
  </si>
  <si>
    <t>7276</t>
  </si>
  <si>
    <t>7277</t>
  </si>
  <si>
    <t>7279</t>
  </si>
  <si>
    <t>7280</t>
  </si>
  <si>
    <t>7282</t>
  </si>
  <si>
    <t>7285</t>
  </si>
  <si>
    <t>7286</t>
  </si>
  <si>
    <t>7287</t>
  </si>
  <si>
    <t>7288</t>
  </si>
  <si>
    <t>7289</t>
  </si>
  <si>
    <t>408</t>
  </si>
  <si>
    <t>1001</t>
  </si>
  <si>
    <t>2002</t>
  </si>
  <si>
    <t>2402</t>
  </si>
  <si>
    <t>3036</t>
  </si>
  <si>
    <t>3355</t>
  </si>
  <si>
    <t>3363</t>
  </si>
  <si>
    <t>3389</t>
  </si>
  <si>
    <t>3402</t>
  </si>
  <si>
    <t>4366</t>
  </si>
  <si>
    <t>4372</t>
  </si>
  <si>
    <t>4394</t>
  </si>
  <si>
    <t>4402</t>
  </si>
  <si>
    <t>5353</t>
  </si>
  <si>
    <t>5380</t>
  </si>
  <si>
    <t>5395</t>
  </si>
  <si>
    <t>5402</t>
  </si>
  <si>
    <t>5415</t>
  </si>
  <si>
    <t>6000</t>
  </si>
  <si>
    <t>6027</t>
  </si>
  <si>
    <t>6056</t>
  </si>
  <si>
    <t>6354</t>
  </si>
  <si>
    <t>6371</t>
  </si>
  <si>
    <t>6383</t>
  </si>
  <si>
    <t>6391</t>
  </si>
  <si>
    <t>6393</t>
  </si>
  <si>
    <t>6403</t>
  </si>
  <si>
    <t>6409</t>
  </si>
  <si>
    <t>6416</t>
  </si>
  <si>
    <t>6422</t>
  </si>
  <si>
    <t>7003</t>
  </si>
  <si>
    <t>7020</t>
  </si>
  <si>
    <t>7033</t>
  </si>
  <si>
    <t>7055</t>
  </si>
  <si>
    <t>7061</t>
  </si>
  <si>
    <t>7133</t>
  </si>
  <si>
    <t>7147</t>
  </si>
  <si>
    <t>7307</t>
  </si>
  <si>
    <t>7342</t>
  </si>
  <si>
    <t>7355</t>
  </si>
  <si>
    <t>7360</t>
  </si>
  <si>
    <t>7440</t>
  </si>
  <si>
    <t>7462</t>
  </si>
  <si>
    <t>8015</t>
  </si>
  <si>
    <t>8026</t>
  </si>
  <si>
    <t>8031</t>
  </si>
  <si>
    <t>8388</t>
  </si>
  <si>
    <t>8391</t>
  </si>
  <si>
    <t>8395</t>
  </si>
  <si>
    <t>8411</t>
  </si>
  <si>
    <t>8450</t>
  </si>
  <si>
    <t>8454</t>
  </si>
  <si>
    <t>9355</t>
  </si>
  <si>
    <t>9356</t>
  </si>
  <si>
    <t>YG</t>
  </si>
  <si>
    <t>Marb</t>
  </si>
  <si>
    <t>HCW</t>
  </si>
  <si>
    <t>Dressing</t>
  </si>
  <si>
    <t>BF</t>
  </si>
  <si>
    <t>REA</t>
  </si>
  <si>
    <t>EBF.%</t>
  </si>
  <si>
    <t>QGS</t>
  </si>
  <si>
    <t>Experiment</t>
  </si>
  <si>
    <t>Beck et al. (2023)</t>
  </si>
  <si>
    <t>Proctor et al. (2024)</t>
  </si>
  <si>
    <t>Foote et al. (2024)</t>
  </si>
  <si>
    <t>Column Name</t>
  </si>
  <si>
    <t>Description</t>
  </si>
  <si>
    <t>Animal ID</t>
  </si>
  <si>
    <t>Treatment</t>
  </si>
  <si>
    <t>initial body weight (BW), kg</t>
  </si>
  <si>
    <t>final BW, kg</t>
  </si>
  <si>
    <t>average BW, kg</t>
  </si>
  <si>
    <t>average metabolic BW</t>
  </si>
  <si>
    <t>average daily gain, kg/d</t>
  </si>
  <si>
    <t>Dry matter intake, kg/d</t>
  </si>
  <si>
    <t>gain to feed, kg ADG/kg DMI</t>
  </si>
  <si>
    <t>Euclidean distance of day-to-day DMI</t>
  </si>
  <si>
    <t xml:space="preserve">day-to-day coefficient of variation </t>
  </si>
  <si>
    <t>RIG</t>
  </si>
  <si>
    <t>predicted DMI</t>
  </si>
  <si>
    <t>predicted ADG</t>
  </si>
  <si>
    <t>residual feed intake</t>
  </si>
  <si>
    <t>residual ADG</t>
  </si>
  <si>
    <t>residual intake and gain</t>
  </si>
  <si>
    <t>Yield grade</t>
  </si>
  <si>
    <t>marbling score</t>
  </si>
  <si>
    <t>quality grade score</t>
  </si>
  <si>
    <t>hot carcass weight, kg</t>
  </si>
  <si>
    <t>back fat thickness, cm</t>
  </si>
  <si>
    <t>ribeye area, cm^2</t>
  </si>
  <si>
    <t>calculated empty body fat, %</t>
  </si>
  <si>
    <t>dressing percentage,%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</si>
</sst>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23B7-BF14-48FD-A8A2-9899DE82EB71}">
  <dimension ref="A1:B26"/>
  <sheetViews>
    <sheetView tabSelected="1" workbookViewId="0">
      <selection activeCell="D10" sqref="D10"/>
    </sheetView>
  </sheetViews>
  <sheetFormatPr defaultRowHeight="15" x14ac:dyDescent="0.25"/>
  <cols>
    <col min="1" max="1" width="19.140625" style="3" customWidth="1"/>
    <col min="2" max="2" width="34.5703125" bestFit="1" customWidth="1"/>
  </cols>
  <sheetData>
    <row r="1" spans="1:2" x14ac:dyDescent="0.25">
      <c r="A1" s="4" t="s">
        <v>182</v>
      </c>
      <c r="B1" s="2" t="s">
        <v>183</v>
      </c>
    </row>
    <row r="2" spans="1:2" x14ac:dyDescent="0.25">
      <c r="A2" s="3" t="s">
        <v>178</v>
      </c>
      <c r="B2" t="s">
        <v>178</v>
      </c>
    </row>
    <row r="3" spans="1:2" x14ac:dyDescent="0.25">
      <c r="A3" s="3" t="s">
        <v>0</v>
      </c>
      <c r="B3" t="s">
        <v>184</v>
      </c>
    </row>
    <row r="4" spans="1:2" x14ac:dyDescent="0.25">
      <c r="A4" s="3" t="s">
        <v>1</v>
      </c>
      <c r="B4" t="s">
        <v>185</v>
      </c>
    </row>
    <row r="5" spans="1:2" x14ac:dyDescent="0.25">
      <c r="A5" s="3" t="s">
        <v>2</v>
      </c>
      <c r="B5" t="s">
        <v>186</v>
      </c>
    </row>
    <row r="6" spans="1:2" x14ac:dyDescent="0.25">
      <c r="A6" s="3" t="s">
        <v>3</v>
      </c>
      <c r="B6" t="s">
        <v>187</v>
      </c>
    </row>
    <row r="7" spans="1:2" x14ac:dyDescent="0.25">
      <c r="A7" s="3" t="s">
        <v>4</v>
      </c>
      <c r="B7" t="s">
        <v>188</v>
      </c>
    </row>
    <row r="8" spans="1:2" x14ac:dyDescent="0.25">
      <c r="A8" s="3" t="s">
        <v>5</v>
      </c>
      <c r="B8" t="s">
        <v>189</v>
      </c>
    </row>
    <row r="9" spans="1:2" x14ac:dyDescent="0.25">
      <c r="A9" s="3" t="s">
        <v>6</v>
      </c>
      <c r="B9" t="s">
        <v>190</v>
      </c>
    </row>
    <row r="10" spans="1:2" x14ac:dyDescent="0.25">
      <c r="A10" s="3" t="s">
        <v>7</v>
      </c>
      <c r="B10" t="s">
        <v>191</v>
      </c>
    </row>
    <row r="11" spans="1:2" x14ac:dyDescent="0.25">
      <c r="A11" s="3" t="s">
        <v>8</v>
      </c>
      <c r="B11" t="s">
        <v>192</v>
      </c>
    </row>
    <row r="12" spans="1:2" x14ac:dyDescent="0.25">
      <c r="A12" s="3" t="s">
        <v>9</v>
      </c>
      <c r="B12" t="s">
        <v>193</v>
      </c>
    </row>
    <row r="13" spans="1:2" x14ac:dyDescent="0.25">
      <c r="A13" s="3" t="s">
        <v>10</v>
      </c>
      <c r="B13" t="s">
        <v>194</v>
      </c>
    </row>
    <row r="14" spans="1:2" x14ac:dyDescent="0.25">
      <c r="A14" s="3" t="s">
        <v>11</v>
      </c>
      <c r="B14" t="s">
        <v>196</v>
      </c>
    </row>
    <row r="15" spans="1:2" x14ac:dyDescent="0.25">
      <c r="A15" s="3" t="s">
        <v>12</v>
      </c>
      <c r="B15" t="s">
        <v>198</v>
      </c>
    </row>
    <row r="16" spans="1:2" x14ac:dyDescent="0.25">
      <c r="A16" s="3" t="s">
        <v>13</v>
      </c>
      <c r="B16" t="s">
        <v>197</v>
      </c>
    </row>
    <row r="17" spans="1:2" x14ac:dyDescent="0.25">
      <c r="A17" s="3" t="s">
        <v>14</v>
      </c>
      <c r="B17" t="s">
        <v>199</v>
      </c>
    </row>
    <row r="18" spans="1:2" x14ac:dyDescent="0.25">
      <c r="A18" s="3" t="s">
        <v>195</v>
      </c>
      <c r="B18" t="s">
        <v>200</v>
      </c>
    </row>
    <row r="19" spans="1:2" x14ac:dyDescent="0.25">
      <c r="A19" s="3" t="s">
        <v>170</v>
      </c>
      <c r="B19" t="s">
        <v>201</v>
      </c>
    </row>
    <row r="20" spans="1:2" x14ac:dyDescent="0.25">
      <c r="A20" s="3" t="s">
        <v>171</v>
      </c>
      <c r="B20" t="s">
        <v>202</v>
      </c>
    </row>
    <row r="21" spans="1:2" x14ac:dyDescent="0.25">
      <c r="A21" s="3" t="s">
        <v>177</v>
      </c>
      <c r="B21" t="s">
        <v>203</v>
      </c>
    </row>
    <row r="22" spans="1:2" x14ac:dyDescent="0.25">
      <c r="A22" s="3" t="s">
        <v>172</v>
      </c>
      <c r="B22" t="s">
        <v>204</v>
      </c>
    </row>
    <row r="23" spans="1:2" x14ac:dyDescent="0.25">
      <c r="A23" s="3" t="s">
        <v>173</v>
      </c>
      <c r="B23" t="s">
        <v>208</v>
      </c>
    </row>
    <row r="24" spans="1:2" x14ac:dyDescent="0.25">
      <c r="A24" s="3" t="s">
        <v>174</v>
      </c>
      <c r="B24" t="s">
        <v>205</v>
      </c>
    </row>
    <row r="25" spans="1:2" x14ac:dyDescent="0.25">
      <c r="A25" s="3" t="s">
        <v>175</v>
      </c>
      <c r="B25" t="s">
        <v>206</v>
      </c>
    </row>
    <row r="26" spans="1:2" x14ac:dyDescent="0.25">
      <c r="A26" s="3" t="s">
        <v>176</v>
      </c>
      <c r="B26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1"/>
  <sheetViews>
    <sheetView zoomScale="55" zoomScaleNormal="55" workbookViewId="0">
      <pane ySplit="1" topLeftCell="A2" activePane="bottomLeft" state="frozen"/>
      <selection pane="bottomLeft" activeCell="R1" sqref="R1:R1048576"/>
    </sheetView>
  </sheetViews>
  <sheetFormatPr defaultRowHeight="15" x14ac:dyDescent="0.25"/>
  <cols>
    <col min="1" max="1" width="27" customWidth="1"/>
    <col min="7" max="7" width="12.28515625" bestFit="1" customWidth="1"/>
    <col min="11" max="11" width="16" bestFit="1" customWidth="1"/>
    <col min="13" max="13" width="16" bestFit="1" customWidth="1"/>
  </cols>
  <sheetData>
    <row r="1" spans="1:25" s="1" customFormat="1" x14ac:dyDescent="0.25">
      <c r="A1" s="1" t="s">
        <v>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195</v>
      </c>
      <c r="R1" t="s">
        <v>170</v>
      </c>
      <c r="S1" t="s">
        <v>171</v>
      </c>
      <c r="T1" s="1" t="s">
        <v>177</v>
      </c>
      <c r="U1" t="s">
        <v>172</v>
      </c>
      <c r="V1" t="s">
        <v>173</v>
      </c>
      <c r="W1" t="s">
        <v>174</v>
      </c>
      <c r="X1" t="s">
        <v>175</v>
      </c>
      <c r="Y1" s="1" t="s">
        <v>176</v>
      </c>
    </row>
    <row r="2" spans="1:25" x14ac:dyDescent="0.25">
      <c r="A2" t="s">
        <v>179</v>
      </c>
      <c r="B2" t="s">
        <v>15</v>
      </c>
      <c r="C2" t="s">
        <v>16</v>
      </c>
      <c r="D2">
        <v>514.96598639455783</v>
      </c>
      <c r="E2">
        <v>666.66666666666663</v>
      </c>
      <c r="F2">
        <v>590.81632653061229</v>
      </c>
      <c r="G2">
        <v>119.8365688979718</v>
      </c>
      <c r="H2">
        <v>1.6489204377403139</v>
      </c>
      <c r="I2">
        <v>11.2354503999402</v>
      </c>
      <c r="J2">
        <v>0.1410972994839105</v>
      </c>
      <c r="K2">
        <v>1.404679499746234</v>
      </c>
      <c r="L2">
        <v>8.9861725211424819</v>
      </c>
      <c r="M2">
        <v>11.391521180484879</v>
      </c>
      <c r="N2">
        <v>-0.15607078054468279</v>
      </c>
      <c r="O2">
        <v>1.5506743052939229</v>
      </c>
      <c r="P2">
        <v>9.8246132446391243E-2</v>
      </c>
      <c r="Q2">
        <v>0.25431691299107412</v>
      </c>
      <c r="R2">
        <v>2.9522000000000004</v>
      </c>
      <c r="S2">
        <v>680</v>
      </c>
      <c r="T2">
        <v>7</v>
      </c>
      <c r="U2">
        <v>423.58276643990928</v>
      </c>
      <c r="V2">
        <v>66.184807256235828</v>
      </c>
      <c r="W2">
        <v>1.39192</v>
      </c>
      <c r="X2">
        <v>97.717500000000001</v>
      </c>
      <c r="Y2">
        <f>17.76107+(4.68142*W2)+(0.01945*U2)+(0.81855*T2)-(0.06754*X2)</f>
        <v>31.645926983656235</v>
      </c>
    </row>
    <row r="3" spans="1:25" x14ac:dyDescent="0.25">
      <c r="A3" t="s">
        <v>179</v>
      </c>
      <c r="B3" t="s">
        <v>17</v>
      </c>
      <c r="C3" t="s">
        <v>18</v>
      </c>
      <c r="D3">
        <v>550.11337868480723</v>
      </c>
      <c r="E3">
        <v>683.21995464852603</v>
      </c>
      <c r="F3">
        <v>616.66666666666663</v>
      </c>
      <c r="G3">
        <v>123.7479050050276</v>
      </c>
      <c r="H3">
        <v>1.4468106083012919</v>
      </c>
      <c r="I3">
        <v>10.896432515035</v>
      </c>
      <c r="J3">
        <v>0.1274056471096614</v>
      </c>
      <c r="K3">
        <v>1.2631224240459531</v>
      </c>
      <c r="L3">
        <v>10.48961165258364</v>
      </c>
      <c r="M3">
        <v>10.89790049764515</v>
      </c>
      <c r="N3">
        <v>-1.467982610146024E-3</v>
      </c>
      <c r="O3">
        <v>1.5256682846380349</v>
      </c>
      <c r="P3">
        <v>-7.885767633674301E-2</v>
      </c>
      <c r="Q3">
        <v>-7.7389693726596986E-2</v>
      </c>
      <c r="R3">
        <v>3.5254800000000008</v>
      </c>
      <c r="S3">
        <v>430</v>
      </c>
      <c r="T3">
        <v>6</v>
      </c>
      <c r="U3">
        <v>425.39682539682536</v>
      </c>
      <c r="V3">
        <v>64.857838256444296</v>
      </c>
      <c r="W3">
        <v>1.8039080000000001</v>
      </c>
      <c r="X3">
        <v>93.934574999999995</v>
      </c>
      <c r="Y3">
        <f t="shared" ref="Y3:Y66" si="0">17.76107+(4.68142*W3)+(0.01945*U3)+(0.81855*T3)-(0.06754*X3)</f>
        <v>33.046848047828256</v>
      </c>
    </row>
    <row r="4" spans="1:25" x14ac:dyDescent="0.25">
      <c r="A4" t="s">
        <v>179</v>
      </c>
      <c r="B4" t="s">
        <v>19</v>
      </c>
      <c r="C4" t="s">
        <v>20</v>
      </c>
      <c r="D4">
        <v>456.46258503401361</v>
      </c>
      <c r="E4">
        <v>592.74376417233555</v>
      </c>
      <c r="F4">
        <v>524.60317460317458</v>
      </c>
      <c r="G4">
        <v>109.61580706567089</v>
      </c>
      <c r="H4">
        <v>1.481317164546978</v>
      </c>
      <c r="I4">
        <v>9.6425596172534949</v>
      </c>
      <c r="J4">
        <v>0.14700385222758119</v>
      </c>
      <c r="K4">
        <v>1.410850569119694</v>
      </c>
      <c r="L4">
        <v>7.9080347610318729</v>
      </c>
      <c r="M4">
        <v>10.32875429120441</v>
      </c>
      <c r="N4">
        <v>-0.6861946739509186</v>
      </c>
      <c r="O4">
        <v>1.3504187660771461</v>
      </c>
      <c r="P4">
        <v>0.13089839846983181</v>
      </c>
      <c r="Q4">
        <v>0.81709307242075035</v>
      </c>
      <c r="R4">
        <v>3.16588</v>
      </c>
      <c r="S4">
        <v>620</v>
      </c>
      <c r="T4">
        <v>7</v>
      </c>
      <c r="U4">
        <v>353.74149659863946</v>
      </c>
      <c r="V4">
        <v>62.165263963274683</v>
      </c>
      <c r="W4">
        <v>1.1877040000000001</v>
      </c>
      <c r="X4">
        <v>77.632199999999997</v>
      </c>
      <c r="Y4">
        <f t="shared" si="0"/>
        <v>30.688054580523538</v>
      </c>
    </row>
    <row r="5" spans="1:25" x14ac:dyDescent="0.25">
      <c r="A5" t="s">
        <v>179</v>
      </c>
      <c r="B5" t="s">
        <v>21</v>
      </c>
      <c r="C5" t="s">
        <v>16</v>
      </c>
      <c r="D5">
        <v>496.37188208616777</v>
      </c>
      <c r="E5">
        <v>628.11791383219952</v>
      </c>
      <c r="F5">
        <v>562.24489795918362</v>
      </c>
      <c r="G5">
        <v>115.4633469706659</v>
      </c>
      <c r="H5">
        <v>1.432022084195997</v>
      </c>
      <c r="I5">
        <v>11.66430099576062</v>
      </c>
      <c r="J5">
        <v>0.11721328143398151</v>
      </c>
      <c r="K5">
        <v>1.1077701970719389</v>
      </c>
      <c r="L5">
        <v>7.4713463134511677</v>
      </c>
      <c r="M5">
        <v>10.44584325057061</v>
      </c>
      <c r="N5">
        <v>1.218457745190012</v>
      </c>
      <c r="O5">
        <v>1.583969113527862</v>
      </c>
      <c r="P5">
        <v>-0.15194702933186449</v>
      </c>
      <c r="Q5">
        <v>-1.3704047745218759</v>
      </c>
      <c r="R5">
        <v>3.5623600000000004</v>
      </c>
      <c r="S5">
        <v>550</v>
      </c>
      <c r="T5">
        <v>7</v>
      </c>
      <c r="U5">
        <v>383.21995464852608</v>
      </c>
      <c r="V5">
        <v>63.552948255114316</v>
      </c>
      <c r="W5">
        <v>1.722628</v>
      </c>
      <c r="X5">
        <v>85.523775000000001</v>
      </c>
      <c r="Y5">
        <f t="shared" si="0"/>
        <v>33.232617526173826</v>
      </c>
    </row>
    <row r="6" spans="1:25" x14ac:dyDescent="0.25">
      <c r="A6" t="s">
        <v>179</v>
      </c>
      <c r="B6" t="s">
        <v>22</v>
      </c>
      <c r="C6" t="s">
        <v>20</v>
      </c>
      <c r="D6">
        <v>473.92290249433103</v>
      </c>
      <c r="E6">
        <v>598.18594104308386</v>
      </c>
      <c r="F6">
        <v>536.05442176870747</v>
      </c>
      <c r="G6">
        <v>111.40550767497341</v>
      </c>
      <c r="H6">
        <v>1.350685201616878</v>
      </c>
      <c r="I6">
        <v>8.1821561668145506</v>
      </c>
      <c r="J6">
        <v>0.15687011521756289</v>
      </c>
      <c r="K6">
        <v>1.554086572389044</v>
      </c>
      <c r="L6">
        <v>16.69167238373976</v>
      </c>
      <c r="M6">
        <v>9.973874258382363</v>
      </c>
      <c r="N6">
        <v>-1.7917180915678119</v>
      </c>
      <c r="O6">
        <v>1.199117390329385</v>
      </c>
      <c r="P6">
        <v>0.1515678112874925</v>
      </c>
      <c r="Q6">
        <v>1.9432859028553049</v>
      </c>
      <c r="R6">
        <v>3.8366599999999993</v>
      </c>
      <c r="S6">
        <v>520</v>
      </c>
      <c r="T6">
        <v>7</v>
      </c>
      <c r="U6">
        <v>369.6145124716553</v>
      </c>
      <c r="V6">
        <v>64.363785696234515</v>
      </c>
      <c r="W6">
        <v>1.7510760000000001</v>
      </c>
      <c r="X6">
        <v>78.348150000000004</v>
      </c>
      <c r="Y6">
        <f t="shared" si="0"/>
        <v>33.585810424493687</v>
      </c>
    </row>
    <row r="7" spans="1:25" x14ac:dyDescent="0.25">
      <c r="A7" t="s">
        <v>179</v>
      </c>
      <c r="B7" t="s">
        <v>23</v>
      </c>
      <c r="C7" t="s">
        <v>20</v>
      </c>
      <c r="D7">
        <v>496.14512471655331</v>
      </c>
      <c r="E7">
        <v>667.80045351473916</v>
      </c>
      <c r="F7">
        <v>581.97278911564626</v>
      </c>
      <c r="G7">
        <v>118.4887203833439</v>
      </c>
      <c r="H7">
        <v>1.86581879128463</v>
      </c>
      <c r="I7">
        <v>12.0793256433008</v>
      </c>
      <c r="J7">
        <v>0.1480820929103468</v>
      </c>
      <c r="K7">
        <v>1.151824788877724</v>
      </c>
      <c r="L7">
        <v>7.3824798926408173</v>
      </c>
      <c r="M7">
        <v>12.059555561852109</v>
      </c>
      <c r="N7">
        <v>1.9770081448692519E-2</v>
      </c>
      <c r="O7">
        <v>1.637194020143435</v>
      </c>
      <c r="P7">
        <v>0.22862477114119531</v>
      </c>
      <c r="Q7">
        <v>0.20885468969250279</v>
      </c>
      <c r="R7">
        <v>4.1016399999999988</v>
      </c>
      <c r="S7">
        <v>480</v>
      </c>
      <c r="T7">
        <v>6</v>
      </c>
      <c r="U7">
        <v>394.55782312925169</v>
      </c>
      <c r="V7">
        <v>61.544991511035661</v>
      </c>
      <c r="W7">
        <v>1.8318480000000001</v>
      </c>
      <c r="X7">
        <v>78.419100000000014</v>
      </c>
      <c r="Y7">
        <f t="shared" si="0"/>
        <v>33.625743510023938</v>
      </c>
    </row>
    <row r="8" spans="1:25" x14ac:dyDescent="0.25">
      <c r="A8" t="s">
        <v>179</v>
      </c>
      <c r="B8" t="s">
        <v>24</v>
      </c>
      <c r="C8" t="s">
        <v>16</v>
      </c>
      <c r="D8">
        <v>512.47165532879819</v>
      </c>
      <c r="E8">
        <v>632.4263038548753</v>
      </c>
      <c r="F8">
        <v>572.44897959183675</v>
      </c>
      <c r="G8">
        <v>117.0314508818049</v>
      </c>
      <c r="H8">
        <v>1.3038548752834469</v>
      </c>
      <c r="I8">
        <v>10.27498602078194</v>
      </c>
      <c r="J8">
        <v>0.12113330196158111</v>
      </c>
      <c r="K8">
        <v>1.464512296298343</v>
      </c>
      <c r="L8">
        <v>14.499199007395671</v>
      </c>
      <c r="M8">
        <v>10.088543737597851</v>
      </c>
      <c r="N8">
        <v>0.18644228318409439</v>
      </c>
      <c r="O8">
        <v>1.4396434959927069</v>
      </c>
      <c r="P8">
        <v>-0.13578862070926051</v>
      </c>
      <c r="Q8">
        <v>-0.32223090389335479</v>
      </c>
      <c r="R8">
        <v>2.1307799999999988</v>
      </c>
      <c r="S8">
        <v>510</v>
      </c>
      <c r="T8">
        <v>7</v>
      </c>
      <c r="U8">
        <v>390.47619047619048</v>
      </c>
      <c r="V8">
        <v>64.315166726425247</v>
      </c>
      <c r="W8">
        <v>1.0485120000000001</v>
      </c>
      <c r="X8">
        <v>101.46495000000002</v>
      </c>
      <c r="Y8">
        <f t="shared" si="0"/>
        <v>29.141264228801905</v>
      </c>
    </row>
    <row r="9" spans="1:25" x14ac:dyDescent="0.25">
      <c r="A9" t="s">
        <v>179</v>
      </c>
      <c r="B9" t="s">
        <v>25</v>
      </c>
      <c r="C9" t="s">
        <v>20</v>
      </c>
      <c r="D9">
        <v>515.8730158730159</v>
      </c>
      <c r="E9">
        <v>671.20181405895687</v>
      </c>
      <c r="F9">
        <v>593.53741496598639</v>
      </c>
      <c r="G9">
        <v>120.2502742879873</v>
      </c>
      <c r="H9">
        <v>1.688356502021098</v>
      </c>
      <c r="I9">
        <v>9.9006664694863442</v>
      </c>
      <c r="J9">
        <v>0.16348641839750891</v>
      </c>
      <c r="K9">
        <v>1.2333095555507041</v>
      </c>
      <c r="L9">
        <v>14.75845657606722</v>
      </c>
      <c r="M9">
        <v>11.544952024840899</v>
      </c>
      <c r="N9">
        <v>-1.644285555354555</v>
      </c>
      <c r="O9">
        <v>1.408850805328427</v>
      </c>
      <c r="P9">
        <v>0.27950569669267061</v>
      </c>
      <c r="Q9">
        <v>1.923791252047226</v>
      </c>
      <c r="R9">
        <v>2.332440000000001</v>
      </c>
      <c r="S9">
        <v>440</v>
      </c>
      <c r="T9">
        <v>6</v>
      </c>
      <c r="U9">
        <v>412.24489795918367</v>
      </c>
      <c r="V9">
        <v>63.978040540540547</v>
      </c>
      <c r="W9">
        <v>1.2141200000000003</v>
      </c>
      <c r="X9">
        <v>104.25135</v>
      </c>
      <c r="Y9">
        <f t="shared" si="0"/>
        <v>29.33320273670612</v>
      </c>
    </row>
    <row r="10" spans="1:25" x14ac:dyDescent="0.25">
      <c r="A10" t="s">
        <v>179</v>
      </c>
      <c r="B10" t="s">
        <v>26</v>
      </c>
      <c r="C10" t="s">
        <v>18</v>
      </c>
      <c r="D10">
        <v>545.12471655328795</v>
      </c>
      <c r="E10">
        <v>692.51700680272108</v>
      </c>
      <c r="F10">
        <v>618.82086167800458</v>
      </c>
      <c r="G10">
        <v>124.07197905417129</v>
      </c>
      <c r="H10">
        <v>1.602090111406882</v>
      </c>
      <c r="I10">
        <v>11.70402099970423</v>
      </c>
      <c r="J10">
        <v>0.13134996111391711</v>
      </c>
      <c r="K10">
        <v>1.1382702546813319</v>
      </c>
      <c r="L10">
        <v>4.5097080126177884</v>
      </c>
      <c r="M10">
        <v>11.438708090753201</v>
      </c>
      <c r="N10">
        <v>0.2653129089510351</v>
      </c>
      <c r="O10">
        <v>1.6131384534800799</v>
      </c>
      <c r="P10">
        <v>-1.104834207319816E-2</v>
      </c>
      <c r="Q10">
        <v>-0.27636125102423331</v>
      </c>
      <c r="R10">
        <v>3.0493800000000002</v>
      </c>
      <c r="S10">
        <v>560</v>
      </c>
      <c r="T10">
        <v>7</v>
      </c>
      <c r="U10">
        <v>439.45578231292518</v>
      </c>
      <c r="V10">
        <v>66.101833660772769</v>
      </c>
      <c r="W10">
        <v>1.7485360000000003</v>
      </c>
      <c r="X10">
        <v>105.06082499999999</v>
      </c>
      <c r="Y10">
        <f t="shared" si="0"/>
        <v>33.128158246606397</v>
      </c>
    </row>
    <row r="11" spans="1:25" x14ac:dyDescent="0.25">
      <c r="A11" t="s">
        <v>179</v>
      </c>
      <c r="B11" t="s">
        <v>27</v>
      </c>
      <c r="C11" t="s">
        <v>18</v>
      </c>
      <c r="D11">
        <v>544.89795918367349</v>
      </c>
      <c r="E11">
        <v>679.81859410430832</v>
      </c>
      <c r="F11">
        <v>612.35827664399085</v>
      </c>
      <c r="G11">
        <v>123.09890622938219</v>
      </c>
      <c r="H11">
        <v>1.466528640441684</v>
      </c>
      <c r="I11">
        <v>12.2653353489544</v>
      </c>
      <c r="J11">
        <v>0.1159055970678326</v>
      </c>
      <c r="K11">
        <v>1.2184620739918111</v>
      </c>
      <c r="L11">
        <v>10.13950879609242</v>
      </c>
      <c r="M11">
        <v>10.933081447952359</v>
      </c>
      <c r="N11">
        <v>1.3322539010020391</v>
      </c>
      <c r="O11">
        <v>1.670466651932947</v>
      </c>
      <c r="P11">
        <v>-0.2039380114912632</v>
      </c>
      <c r="Q11">
        <v>-1.5361919124933019</v>
      </c>
      <c r="R11">
        <v>2.9752399999999999</v>
      </c>
      <c r="S11">
        <v>530</v>
      </c>
      <c r="T11">
        <v>7</v>
      </c>
      <c r="U11">
        <v>417.23356009070295</v>
      </c>
      <c r="V11">
        <v>63.931509895485895</v>
      </c>
      <c r="W11">
        <v>1.4056359999999997</v>
      </c>
      <c r="X11">
        <v>96.237225000000009</v>
      </c>
      <c r="Y11">
        <f t="shared" si="0"/>
        <v>31.686623050384171</v>
      </c>
    </row>
    <row r="12" spans="1:25" x14ac:dyDescent="0.25">
      <c r="A12" t="s">
        <v>179</v>
      </c>
      <c r="B12" t="s">
        <v>28</v>
      </c>
      <c r="C12" t="s">
        <v>20</v>
      </c>
      <c r="D12">
        <v>527.89115646258506</v>
      </c>
      <c r="E12">
        <v>639.68253968253964</v>
      </c>
      <c r="F12">
        <v>583.78684807256241</v>
      </c>
      <c r="G12">
        <v>118.7656171987866</v>
      </c>
      <c r="H12">
        <v>1.2151237306516811</v>
      </c>
      <c r="I12">
        <v>9.4544750073942616</v>
      </c>
      <c r="J12">
        <v>0.12852365992837711</v>
      </c>
      <c r="K12">
        <v>1.4759912457133471</v>
      </c>
      <c r="L12">
        <v>13.5587039261091</v>
      </c>
      <c r="M12">
        <v>9.8726569549591972</v>
      </c>
      <c r="N12">
        <v>-0.41818194756493549</v>
      </c>
      <c r="O12">
        <v>1.3567452387405761</v>
      </c>
      <c r="P12">
        <v>-0.1416215080888952</v>
      </c>
      <c r="Q12">
        <v>0.27656043947604042</v>
      </c>
      <c r="R12">
        <v>2.4985799999999996</v>
      </c>
      <c r="S12">
        <v>430</v>
      </c>
      <c r="T12">
        <v>6</v>
      </c>
      <c r="U12">
        <v>405.44217687074831</v>
      </c>
      <c r="V12">
        <v>66.022686990428923</v>
      </c>
      <c r="W12">
        <v>1.6088359999999999</v>
      </c>
      <c r="X12">
        <v>107.318325</v>
      </c>
      <c r="Y12">
        <f t="shared" si="0"/>
        <v>30.841577696756051</v>
      </c>
    </row>
    <row r="13" spans="1:25" x14ac:dyDescent="0.25">
      <c r="A13" t="s">
        <v>179</v>
      </c>
      <c r="B13" t="s">
        <v>29</v>
      </c>
      <c r="C13" t="s">
        <v>16</v>
      </c>
      <c r="D13">
        <v>468.25396825396831</v>
      </c>
      <c r="E13">
        <v>575.51020408163265</v>
      </c>
      <c r="F13">
        <v>521.88208616780048</v>
      </c>
      <c r="G13">
        <v>109.1891015144475</v>
      </c>
      <c r="H13">
        <v>1.1658286503007</v>
      </c>
      <c r="I13">
        <v>9.0064685004436544</v>
      </c>
      <c r="J13">
        <v>0.1243106724963382</v>
      </c>
      <c r="K13">
        <v>1.861383524937591</v>
      </c>
      <c r="L13">
        <v>16.425097876211069</v>
      </c>
      <c r="M13">
        <v>9.2412164965750101</v>
      </c>
      <c r="N13">
        <v>-0.23474799613135569</v>
      </c>
      <c r="O13">
        <v>1.2810273531368479</v>
      </c>
      <c r="P13">
        <v>-0.1151987028361481</v>
      </c>
      <c r="Q13">
        <v>0.1195492932952076</v>
      </c>
      <c r="R13">
        <v>3.5819599999999996</v>
      </c>
      <c r="S13">
        <v>550</v>
      </c>
      <c r="T13">
        <v>7</v>
      </c>
      <c r="U13">
        <v>349.20634920634922</v>
      </c>
      <c r="V13">
        <v>63.205936432886787</v>
      </c>
      <c r="W13">
        <v>1.7769839999999997</v>
      </c>
      <c r="X13">
        <v>81.282899999999998</v>
      </c>
      <c r="Y13">
        <f t="shared" si="0"/>
        <v>33.111944863343489</v>
      </c>
    </row>
    <row r="14" spans="1:25" x14ac:dyDescent="0.25">
      <c r="A14" t="s">
        <v>179</v>
      </c>
      <c r="B14" t="s">
        <v>30</v>
      </c>
      <c r="C14" t="s">
        <v>16</v>
      </c>
      <c r="D14">
        <v>536.73469387755097</v>
      </c>
      <c r="E14">
        <v>710.20408163265301</v>
      </c>
      <c r="F14">
        <v>623.46938775510193</v>
      </c>
      <c r="G14">
        <v>124.77033780823341</v>
      </c>
      <c r="H14">
        <v>1.885536823425022</v>
      </c>
      <c r="I14">
        <v>12.392180814354729</v>
      </c>
      <c r="J14">
        <v>0.14559101378226511</v>
      </c>
      <c r="K14">
        <v>1.026680484709497</v>
      </c>
      <c r="L14">
        <v>6.0075750274397341</v>
      </c>
      <c r="M14">
        <v>12.431079316371269</v>
      </c>
      <c r="N14">
        <v>-3.8898502016545322E-2</v>
      </c>
      <c r="O14">
        <v>1.6888951396943219</v>
      </c>
      <c r="P14">
        <v>0.1966416837306999</v>
      </c>
      <c r="Q14">
        <v>0.2355401857472452</v>
      </c>
      <c r="R14">
        <v>3.9098999999999995</v>
      </c>
      <c r="S14">
        <v>480</v>
      </c>
      <c r="T14">
        <v>6</v>
      </c>
      <c r="U14">
        <v>408.16326530612241</v>
      </c>
      <c r="V14">
        <v>59.865900383141771</v>
      </c>
      <c r="W14">
        <v>1.9517359999999999</v>
      </c>
      <c r="X14">
        <v>87.139499999999998</v>
      </c>
      <c r="Y14">
        <f t="shared" si="0"/>
        <v>33.862639625324078</v>
      </c>
    </row>
    <row r="15" spans="1:25" x14ac:dyDescent="0.25">
      <c r="A15" t="s">
        <v>179</v>
      </c>
      <c r="B15" t="s">
        <v>31</v>
      </c>
      <c r="C15" t="s">
        <v>18</v>
      </c>
      <c r="D15">
        <v>490.02267573696139</v>
      </c>
      <c r="E15">
        <v>592.97052154195012</v>
      </c>
      <c r="F15">
        <v>541.49659863945578</v>
      </c>
      <c r="G15">
        <v>112.2527010108472</v>
      </c>
      <c r="H15">
        <v>1.1189983239672681</v>
      </c>
      <c r="I15">
        <v>6.4569799082423662</v>
      </c>
      <c r="J15">
        <v>0.16251169462164991</v>
      </c>
      <c r="K15">
        <v>1.380472582362011</v>
      </c>
      <c r="L15">
        <v>29.952060591662729</v>
      </c>
      <c r="M15">
        <v>9.2315354355232397</v>
      </c>
      <c r="N15">
        <v>-2.774555527280874</v>
      </c>
      <c r="O15">
        <v>1.016718256913653</v>
      </c>
      <c r="P15">
        <v>0.102280067053615</v>
      </c>
      <c r="Q15">
        <v>2.876835594334489</v>
      </c>
      <c r="R15">
        <v>2.1719799999999996</v>
      </c>
      <c r="S15">
        <v>440</v>
      </c>
      <c r="T15">
        <v>6</v>
      </c>
      <c r="U15">
        <v>360.09070294784578</v>
      </c>
      <c r="V15">
        <v>63.256851497769283</v>
      </c>
      <c r="W15">
        <v>1.1165840000000002</v>
      </c>
      <c r="X15">
        <v>96.853200000000001</v>
      </c>
      <c r="Y15">
        <f t="shared" si="0"/>
        <v>28.361867713615602</v>
      </c>
    </row>
    <row r="16" spans="1:25" x14ac:dyDescent="0.25">
      <c r="A16" t="s">
        <v>179</v>
      </c>
      <c r="B16" t="s">
        <v>32</v>
      </c>
      <c r="C16" t="s">
        <v>20</v>
      </c>
      <c r="D16">
        <v>556.23582766439904</v>
      </c>
      <c r="E16">
        <v>730.83900226757362</v>
      </c>
      <c r="F16">
        <v>643.53741496598627</v>
      </c>
      <c r="G16">
        <v>127.7704284892568</v>
      </c>
      <c r="H16">
        <v>1.8978605935127679</v>
      </c>
      <c r="I16">
        <v>12.00646258503401</v>
      </c>
      <c r="J16">
        <v>0.15180461261836939</v>
      </c>
      <c r="K16">
        <v>1.0150779798072971</v>
      </c>
      <c r="L16">
        <v>6.3983322938617553</v>
      </c>
      <c r="M16">
        <v>12.61834675517715</v>
      </c>
      <c r="N16">
        <v>-0.61188417014313856</v>
      </c>
      <c r="O16">
        <v>1.656248079571718</v>
      </c>
      <c r="P16">
        <v>0.24161251394104971</v>
      </c>
      <c r="Q16">
        <v>0.85349668408418822</v>
      </c>
      <c r="R16">
        <v>3.3989000000000003</v>
      </c>
      <c r="S16">
        <v>530</v>
      </c>
      <c r="T16">
        <v>7</v>
      </c>
      <c r="U16">
        <v>438.09523809523807</v>
      </c>
      <c r="V16">
        <v>62.44182438721689</v>
      </c>
      <c r="W16">
        <v>1.807464</v>
      </c>
      <c r="X16">
        <v>99.33</v>
      </c>
      <c r="Y16">
        <f t="shared" si="0"/>
        <v>33.764622299832375</v>
      </c>
    </row>
    <row r="17" spans="1:25" x14ac:dyDescent="0.25">
      <c r="A17" t="s">
        <v>179</v>
      </c>
      <c r="B17" t="s">
        <v>33</v>
      </c>
      <c r="C17" t="s">
        <v>20</v>
      </c>
      <c r="D17">
        <v>559.18367346938771</v>
      </c>
      <c r="E17">
        <v>695.23809523809518</v>
      </c>
      <c r="F17">
        <v>627.21088435374145</v>
      </c>
      <c r="G17">
        <v>125.3314862284798</v>
      </c>
      <c r="H17">
        <v>1.478852410529429</v>
      </c>
      <c r="I17">
        <v>9.6830052910052906</v>
      </c>
      <c r="J17">
        <v>0.145807331869968</v>
      </c>
      <c r="K17">
        <v>1.4965033992803221</v>
      </c>
      <c r="L17">
        <v>18.231878217636272</v>
      </c>
      <c r="M17">
        <v>11.08310159336437</v>
      </c>
      <c r="N17">
        <v>-1.400096302359078</v>
      </c>
      <c r="O17">
        <v>1.4002336550711461</v>
      </c>
      <c r="P17">
        <v>7.8618755458282452E-2</v>
      </c>
      <c r="Q17">
        <v>1.47871505781736</v>
      </c>
      <c r="R17">
        <v>3.0496800000000004</v>
      </c>
      <c r="S17">
        <v>530</v>
      </c>
      <c r="T17">
        <v>7</v>
      </c>
      <c r="U17">
        <v>439.90929705215416</v>
      </c>
      <c r="V17">
        <v>65.911067623396391</v>
      </c>
      <c r="W17">
        <v>1.8064480000000001</v>
      </c>
      <c r="X17">
        <v>107.39895</v>
      </c>
      <c r="Y17">
        <f t="shared" si="0"/>
        <v>33.250172540824401</v>
      </c>
    </row>
    <row r="18" spans="1:25" x14ac:dyDescent="0.25">
      <c r="A18" t="s">
        <v>179</v>
      </c>
      <c r="B18" t="s">
        <v>34</v>
      </c>
      <c r="C18" t="s">
        <v>18</v>
      </c>
      <c r="D18">
        <v>490.24943310657602</v>
      </c>
      <c r="E18">
        <v>632.65306122448976</v>
      </c>
      <c r="F18">
        <v>561.45124716553289</v>
      </c>
      <c r="G18">
        <v>115.3410865162257</v>
      </c>
      <c r="H18">
        <v>1.5478655230208029</v>
      </c>
      <c r="I18">
        <v>10.975366755397809</v>
      </c>
      <c r="J18">
        <v>0.1344909923687681</v>
      </c>
      <c r="K18">
        <v>1.147191434000127</v>
      </c>
      <c r="L18">
        <v>5.6243941137884033</v>
      </c>
      <c r="M18">
        <v>10.83163650844117</v>
      </c>
      <c r="N18">
        <v>0.14373024695663969</v>
      </c>
      <c r="O18">
        <v>1.509796676852077</v>
      </c>
      <c r="P18">
        <v>3.8068846168725752E-2</v>
      </c>
      <c r="Q18">
        <v>-0.105661400787914</v>
      </c>
      <c r="R18">
        <v>4.2984000000000009</v>
      </c>
      <c r="S18">
        <v>630</v>
      </c>
      <c r="T18">
        <v>7</v>
      </c>
      <c r="U18">
        <v>402.72108843537416</v>
      </c>
      <c r="V18">
        <v>66.30824372759858</v>
      </c>
      <c r="W18">
        <v>2.0106640000000002</v>
      </c>
      <c r="X18">
        <v>79.302750000000003</v>
      </c>
      <c r="Y18">
        <f t="shared" si="0"/>
        <v>35.380500097948023</v>
      </c>
    </row>
    <row r="19" spans="1:25" x14ac:dyDescent="0.25">
      <c r="A19" t="s">
        <v>179</v>
      </c>
      <c r="B19" t="s">
        <v>35</v>
      </c>
      <c r="C19" t="s">
        <v>20</v>
      </c>
      <c r="D19">
        <v>513.15192743764169</v>
      </c>
      <c r="E19">
        <v>627.21088435374145</v>
      </c>
      <c r="F19">
        <v>570.18140589569157</v>
      </c>
      <c r="G19">
        <v>116.6835914207991</v>
      </c>
      <c r="H19">
        <v>1.239771270827172</v>
      </c>
      <c r="I19">
        <v>10.568552071235001</v>
      </c>
      <c r="J19">
        <v>0.1136690942792076</v>
      </c>
      <c r="K19">
        <v>1.221978419011077</v>
      </c>
      <c r="L19">
        <v>6.8094437931628473</v>
      </c>
      <c r="M19">
        <v>9.8549623200650665</v>
      </c>
      <c r="N19">
        <v>0.71358975116993406</v>
      </c>
      <c r="O19">
        <v>1.4700920994525519</v>
      </c>
      <c r="P19">
        <v>-0.2303208286253797</v>
      </c>
      <c r="Q19">
        <v>-0.94391057979531379</v>
      </c>
      <c r="R19">
        <v>2.4478999999999993</v>
      </c>
      <c r="S19">
        <v>400</v>
      </c>
      <c r="T19">
        <v>6</v>
      </c>
      <c r="U19">
        <v>402.72108843537416</v>
      </c>
      <c r="V19">
        <v>66.88358640636298</v>
      </c>
      <c r="W19">
        <v>1.1953239999999998</v>
      </c>
      <c r="X19">
        <v>100.700625</v>
      </c>
      <c r="Y19">
        <f t="shared" si="0"/>
        <v>29.299788637648021</v>
      </c>
    </row>
    <row r="20" spans="1:25" x14ac:dyDescent="0.25">
      <c r="A20" t="s">
        <v>179</v>
      </c>
      <c r="B20" t="s">
        <v>36</v>
      </c>
      <c r="C20" t="s">
        <v>20</v>
      </c>
      <c r="D20">
        <v>537.41496598639458</v>
      </c>
      <c r="E20">
        <v>674.14965986394554</v>
      </c>
      <c r="F20">
        <v>605.78231292517012</v>
      </c>
      <c r="G20">
        <v>122.10612289924249</v>
      </c>
      <c r="H20">
        <v>1.486246672582076</v>
      </c>
      <c r="I20">
        <v>10.928490584639651</v>
      </c>
      <c r="J20">
        <v>0.1303317329632275</v>
      </c>
      <c r="K20">
        <v>1.298153101688539</v>
      </c>
      <c r="L20">
        <v>9.2889253419008142</v>
      </c>
      <c r="M20">
        <v>10.951578533829959</v>
      </c>
      <c r="N20">
        <v>-2.3087949190314209E-2</v>
      </c>
      <c r="O20">
        <v>1.5243519573239619</v>
      </c>
      <c r="P20">
        <v>-3.8105284741885681E-2</v>
      </c>
      <c r="Q20">
        <v>-1.5017335551571479E-2</v>
      </c>
      <c r="R20">
        <v>3.8784200000000006</v>
      </c>
      <c r="S20">
        <v>440</v>
      </c>
      <c r="T20">
        <v>6</v>
      </c>
      <c r="U20">
        <v>417.23356009070295</v>
      </c>
      <c r="V20">
        <v>64.469110886870723</v>
      </c>
      <c r="W20">
        <v>2.0147280000000003</v>
      </c>
      <c r="X20">
        <v>90.761175000000009</v>
      </c>
      <c r="Y20">
        <f t="shared" si="0"/>
        <v>34.089340938024179</v>
      </c>
    </row>
    <row r="21" spans="1:25" x14ac:dyDescent="0.25">
      <c r="A21" t="s">
        <v>179</v>
      </c>
      <c r="B21" t="s">
        <v>37</v>
      </c>
      <c r="C21" t="s">
        <v>16</v>
      </c>
      <c r="D21">
        <v>531.74603174603169</v>
      </c>
      <c r="E21">
        <v>651.0204081632653</v>
      </c>
      <c r="F21">
        <v>591.38321995464844</v>
      </c>
      <c r="G21">
        <v>119.9227967344799</v>
      </c>
      <c r="H21">
        <v>1.2964606132308001</v>
      </c>
      <c r="I21">
        <v>9.1229591836734691</v>
      </c>
      <c r="J21">
        <v>0.13616717037726361</v>
      </c>
      <c r="K21">
        <v>1.3596548449906529</v>
      </c>
      <c r="L21">
        <v>10.1661445295127</v>
      </c>
      <c r="M21">
        <v>10.203856928994689</v>
      </c>
      <c r="N21">
        <v>-1.080897745321217</v>
      </c>
      <c r="O21">
        <v>1.3245725273210129</v>
      </c>
      <c r="P21">
        <v>-2.81119140902133E-2</v>
      </c>
      <c r="Q21">
        <v>1.052785831231003</v>
      </c>
      <c r="R21">
        <v>3.1389800000000001</v>
      </c>
      <c r="S21">
        <v>470</v>
      </c>
      <c r="T21">
        <v>6</v>
      </c>
      <c r="U21">
        <v>410.43083900226753</v>
      </c>
      <c r="V21">
        <v>65.67107860211307</v>
      </c>
      <c r="W21">
        <v>1.6276320000000004</v>
      </c>
      <c r="X21">
        <v>96.675825000000003</v>
      </c>
      <c r="Y21">
        <f t="shared" si="0"/>
        <v>31.745393595534104</v>
      </c>
    </row>
    <row r="22" spans="1:25" x14ac:dyDescent="0.25">
      <c r="A22" t="s">
        <v>179</v>
      </c>
      <c r="B22" t="s">
        <v>38</v>
      </c>
      <c r="C22" t="s">
        <v>20</v>
      </c>
      <c r="D22">
        <v>502.26757369614512</v>
      </c>
      <c r="E22">
        <v>637.86848072562361</v>
      </c>
      <c r="F22">
        <v>570.06802721088434</v>
      </c>
      <c r="G22">
        <v>116.66618937885301</v>
      </c>
      <c r="H22">
        <v>1.473922902494331</v>
      </c>
      <c r="I22">
        <v>10.192460392215491</v>
      </c>
      <c r="J22">
        <v>0.1381492284613893</v>
      </c>
      <c r="K22">
        <v>1.202181850941203</v>
      </c>
      <c r="L22">
        <v>8.7361692722889597</v>
      </c>
      <c r="M22">
        <v>10.645905522029659</v>
      </c>
      <c r="N22">
        <v>-0.45344512981416679</v>
      </c>
      <c r="O22">
        <v>1.4297438906278981</v>
      </c>
      <c r="P22">
        <v>4.4179011866432923E-2</v>
      </c>
      <c r="Q22">
        <v>0.49762414168059982</v>
      </c>
      <c r="R22">
        <v>3.9762199999999983</v>
      </c>
      <c r="S22">
        <v>540</v>
      </c>
      <c r="T22">
        <v>7</v>
      </c>
      <c r="U22">
        <v>398.18594104308391</v>
      </c>
      <c r="V22">
        <v>65.025476952245526</v>
      </c>
      <c r="W22">
        <v>2.0655279999999996</v>
      </c>
      <c r="X22">
        <v>86.649300000000011</v>
      </c>
      <c r="Y22">
        <f t="shared" si="0"/>
        <v>35.052946921047976</v>
      </c>
    </row>
    <row r="23" spans="1:25" x14ac:dyDescent="0.25">
      <c r="A23" t="s">
        <v>179</v>
      </c>
      <c r="B23" t="s">
        <v>39</v>
      </c>
      <c r="C23" t="s">
        <v>16</v>
      </c>
      <c r="D23">
        <v>492.7437641723356</v>
      </c>
      <c r="E23">
        <v>656.23582766439904</v>
      </c>
      <c r="F23">
        <v>574.48979591836735</v>
      </c>
      <c r="G23">
        <v>117.3442299597306</v>
      </c>
      <c r="H23">
        <v>1.777087646652864</v>
      </c>
      <c r="I23">
        <v>11.78923888395938</v>
      </c>
      <c r="J23">
        <v>0.14381068152436141</v>
      </c>
      <c r="K23">
        <v>1.0052500846042161</v>
      </c>
      <c r="L23">
        <v>9.0349082119493946</v>
      </c>
      <c r="M23">
        <v>11.703967567592381</v>
      </c>
      <c r="N23">
        <v>8.5271316367000694E-2</v>
      </c>
      <c r="O23">
        <v>1.602799358680824</v>
      </c>
      <c r="P23">
        <v>0.17428828797204021</v>
      </c>
      <c r="Q23">
        <v>8.9016971605039519E-2</v>
      </c>
      <c r="R23">
        <v>2.9114000000000009</v>
      </c>
      <c r="S23">
        <v>470</v>
      </c>
      <c r="T23">
        <v>6</v>
      </c>
      <c r="U23">
        <v>391.83673469387753</v>
      </c>
      <c r="V23">
        <v>62.197650310988259</v>
      </c>
      <c r="W23">
        <v>1.0393680000000001</v>
      </c>
      <c r="X23">
        <v>85.172249999999991</v>
      </c>
      <c r="Y23">
        <f t="shared" si="0"/>
        <v>29.406778867355921</v>
      </c>
    </row>
    <row r="24" spans="1:25" x14ac:dyDescent="0.25">
      <c r="A24" t="s">
        <v>179</v>
      </c>
      <c r="B24" t="s">
        <v>40</v>
      </c>
      <c r="C24" t="s">
        <v>18</v>
      </c>
      <c r="D24">
        <v>554.19501133786844</v>
      </c>
      <c r="E24">
        <v>675.05668934240362</v>
      </c>
      <c r="F24">
        <v>614.62585034013603</v>
      </c>
      <c r="G24">
        <v>123.4406263208823</v>
      </c>
      <c r="H24">
        <v>1.313713891353643</v>
      </c>
      <c r="I24">
        <v>11.243232413844661</v>
      </c>
      <c r="J24">
        <v>0.11684485768843179</v>
      </c>
      <c r="K24">
        <v>1.1275453062827501</v>
      </c>
      <c r="L24">
        <v>7.4856627433035552</v>
      </c>
      <c r="M24">
        <v>10.43291945210091</v>
      </c>
      <c r="N24">
        <v>0.81031296174374567</v>
      </c>
      <c r="O24">
        <v>1.5619382824836749</v>
      </c>
      <c r="P24">
        <v>-0.2482243911300317</v>
      </c>
      <c r="Q24">
        <v>-1.0585373528737769</v>
      </c>
      <c r="R24">
        <v>2.9201800000000002</v>
      </c>
      <c r="S24">
        <v>660</v>
      </c>
      <c r="T24">
        <v>7</v>
      </c>
      <c r="U24">
        <v>421.31519274376416</v>
      </c>
      <c r="V24">
        <v>65.012316649871238</v>
      </c>
      <c r="W24">
        <v>1.8592800000000003</v>
      </c>
      <c r="X24">
        <v>107.221575</v>
      </c>
      <c r="Y24">
        <f t="shared" si="0"/>
        <v>33.147825900966211</v>
      </c>
    </row>
    <row r="25" spans="1:25" x14ac:dyDescent="0.25">
      <c r="A25" t="s">
        <v>179</v>
      </c>
      <c r="B25" t="s">
        <v>41</v>
      </c>
      <c r="C25" t="s">
        <v>18</v>
      </c>
      <c r="D25">
        <v>532.19954648526073</v>
      </c>
      <c r="E25">
        <v>668.48072562358277</v>
      </c>
      <c r="F25">
        <v>600.34013605442169</v>
      </c>
      <c r="G25">
        <v>121.2824703918568</v>
      </c>
      <c r="H25">
        <v>1.481317164546978</v>
      </c>
      <c r="I25">
        <v>11.263891754504</v>
      </c>
      <c r="J25">
        <v>0.1248180402459298</v>
      </c>
      <c r="K25">
        <v>1.095489977952979</v>
      </c>
      <c r="L25">
        <v>9.8325565020810082</v>
      </c>
      <c r="M25">
        <v>10.89493746242421</v>
      </c>
      <c r="N25">
        <v>0.36895429207978658</v>
      </c>
      <c r="O25">
        <v>1.557906206917383</v>
      </c>
      <c r="P25">
        <v>-7.6589042370404536E-2</v>
      </c>
      <c r="Q25">
        <v>-0.44554333445019112</v>
      </c>
      <c r="R25">
        <v>4.4378200000000003</v>
      </c>
      <c r="S25">
        <v>520</v>
      </c>
      <c r="T25">
        <v>7</v>
      </c>
      <c r="U25">
        <v>418.59410430839</v>
      </c>
      <c r="V25">
        <v>65.227838082315685</v>
      </c>
      <c r="W25">
        <v>2.3103840000000004</v>
      </c>
      <c r="X25">
        <v>85.730175000000003</v>
      </c>
      <c r="Y25">
        <f t="shared" si="0"/>
        <v>36.65823717457819</v>
      </c>
    </row>
    <row r="26" spans="1:25" x14ac:dyDescent="0.25">
      <c r="A26" t="s">
        <v>179</v>
      </c>
      <c r="B26" t="s">
        <v>42</v>
      </c>
      <c r="C26" t="s">
        <v>20</v>
      </c>
      <c r="D26">
        <v>531.51927437641723</v>
      </c>
      <c r="E26">
        <v>679.81859410430832</v>
      </c>
      <c r="F26">
        <v>605.66893424036277</v>
      </c>
      <c r="G26">
        <v>122.0889823911282</v>
      </c>
      <c r="H26">
        <v>1.6119491274770781</v>
      </c>
      <c r="I26">
        <v>11.41863945578231</v>
      </c>
      <c r="J26">
        <v>0.13610246701073431</v>
      </c>
      <c r="K26">
        <v>1.1887116084194891</v>
      </c>
      <c r="L26">
        <v>6.778532810877838</v>
      </c>
      <c r="M26">
        <v>11.37581169314036</v>
      </c>
      <c r="N26">
        <v>4.2827762641953981E-2</v>
      </c>
      <c r="O26">
        <v>1.576821314087544</v>
      </c>
      <c r="P26">
        <v>3.5127813389534301E-2</v>
      </c>
      <c r="Q26">
        <v>-7.69994925241968E-3</v>
      </c>
      <c r="R26">
        <v>3.8026199999999997</v>
      </c>
      <c r="S26">
        <v>560</v>
      </c>
      <c r="T26">
        <v>7</v>
      </c>
      <c r="U26">
        <v>418.59410430839</v>
      </c>
      <c r="V26">
        <v>64.139982210362476</v>
      </c>
      <c r="W26">
        <v>1.6687800000000002</v>
      </c>
      <c r="X26">
        <v>85.004550000000009</v>
      </c>
      <c r="Y26">
        <f t="shared" si="0"/>
        <v>33.70362808939818</v>
      </c>
    </row>
    <row r="27" spans="1:25" x14ac:dyDescent="0.25">
      <c r="A27" t="s">
        <v>179</v>
      </c>
      <c r="B27" t="s">
        <v>43</v>
      </c>
      <c r="C27" t="s">
        <v>18</v>
      </c>
      <c r="D27">
        <v>497.50566893424042</v>
      </c>
      <c r="E27">
        <v>636.28117913832193</v>
      </c>
      <c r="F27">
        <v>566.8934240362812</v>
      </c>
      <c r="G27">
        <v>116.1785801129206</v>
      </c>
      <c r="H27">
        <v>1.508429458740018</v>
      </c>
      <c r="I27">
        <v>11.83673321502514</v>
      </c>
      <c r="J27">
        <v>0.1215243942691716</v>
      </c>
      <c r="K27">
        <v>1.0405239975691649</v>
      </c>
      <c r="L27">
        <v>6.2252778094135257</v>
      </c>
      <c r="M27">
        <v>10.73892635091021</v>
      </c>
      <c r="N27">
        <v>1.097806864114931</v>
      </c>
      <c r="O27">
        <v>1.6045149381035211</v>
      </c>
      <c r="P27">
        <v>-9.6085479363502868E-2</v>
      </c>
      <c r="Q27">
        <v>-1.1938923434784341</v>
      </c>
      <c r="R27">
        <v>3.7222399999999998</v>
      </c>
      <c r="S27">
        <v>540</v>
      </c>
      <c r="T27">
        <v>7</v>
      </c>
      <c r="U27">
        <v>398.63945578231289</v>
      </c>
      <c r="V27">
        <v>65.261938702779759</v>
      </c>
      <c r="W27">
        <v>1.7790160000000002</v>
      </c>
      <c r="X27">
        <v>86.094600000000014</v>
      </c>
      <c r="Y27">
        <f t="shared" si="0"/>
        <v>33.757949213685983</v>
      </c>
    </row>
    <row r="28" spans="1:25" x14ac:dyDescent="0.25">
      <c r="A28" t="s">
        <v>179</v>
      </c>
      <c r="B28" t="s">
        <v>44</v>
      </c>
      <c r="C28" t="s">
        <v>20</v>
      </c>
      <c r="D28">
        <v>505.21541950113379</v>
      </c>
      <c r="E28">
        <v>652.15419501133783</v>
      </c>
      <c r="F28">
        <v>578.68480725623579</v>
      </c>
      <c r="G28">
        <v>117.9862941271162</v>
      </c>
      <c r="H28">
        <v>1.597160603371784</v>
      </c>
      <c r="I28">
        <v>11.721371882086171</v>
      </c>
      <c r="J28">
        <v>0.1319804458858212</v>
      </c>
      <c r="K28">
        <v>1.0928558976022189</v>
      </c>
      <c r="L28">
        <v>5.7970388458223843</v>
      </c>
      <c r="M28">
        <v>11.12670058602089</v>
      </c>
      <c r="N28">
        <v>0.59467129606527713</v>
      </c>
      <c r="O28">
        <v>1.5973856109975251</v>
      </c>
      <c r="P28">
        <v>-2.2500762574106939E-4</v>
      </c>
      <c r="Q28">
        <v>-0.5948963036910182</v>
      </c>
      <c r="R28">
        <v>3.3699199999999996</v>
      </c>
      <c r="S28">
        <v>560</v>
      </c>
      <c r="T28">
        <v>7</v>
      </c>
      <c r="U28">
        <v>409.97732426303855</v>
      </c>
      <c r="V28">
        <v>65.484469170143726</v>
      </c>
      <c r="W28">
        <v>1.8379440000000005</v>
      </c>
      <c r="X28">
        <v>95.776049999999998</v>
      </c>
      <c r="Y28">
        <f t="shared" si="0"/>
        <v>33.600452340396103</v>
      </c>
    </row>
    <row r="29" spans="1:25" x14ac:dyDescent="0.25">
      <c r="A29" t="s">
        <v>179</v>
      </c>
      <c r="B29" t="s">
        <v>45</v>
      </c>
      <c r="C29" t="s">
        <v>16</v>
      </c>
      <c r="D29">
        <v>519.95464852607711</v>
      </c>
      <c r="E29">
        <v>688.2086167800453</v>
      </c>
      <c r="F29">
        <v>604.08163265306121</v>
      </c>
      <c r="G29">
        <v>121.8489309634539</v>
      </c>
      <c r="H29">
        <v>1.8288474810213939</v>
      </c>
      <c r="I29">
        <v>12.33089371980676</v>
      </c>
      <c r="J29">
        <v>0.1423200854168381</v>
      </c>
      <c r="K29">
        <v>1.0822247347810701</v>
      </c>
      <c r="L29">
        <v>5.4943732169862898</v>
      </c>
      <c r="M29">
        <v>12.09760746713744</v>
      </c>
      <c r="N29">
        <v>0.23328625266931979</v>
      </c>
      <c r="O29">
        <v>1.67387373739181</v>
      </c>
      <c r="P29">
        <v>0.15497374362958369</v>
      </c>
      <c r="Q29">
        <v>-7.8312509039736078E-2</v>
      </c>
      <c r="R29">
        <v>2.5700199999999991</v>
      </c>
      <c r="S29">
        <v>410</v>
      </c>
      <c r="T29">
        <v>6</v>
      </c>
      <c r="U29">
        <v>403.62811791383217</v>
      </c>
      <c r="V29">
        <v>61.092806150466771</v>
      </c>
      <c r="W29">
        <v>1.31064</v>
      </c>
      <c r="X29">
        <v>99.69442500000001</v>
      </c>
      <c r="Y29">
        <f t="shared" si="0"/>
        <v>29.925231737724033</v>
      </c>
    </row>
    <row r="30" spans="1:25" x14ac:dyDescent="0.25">
      <c r="A30" t="s">
        <v>179</v>
      </c>
      <c r="B30" t="s">
        <v>46</v>
      </c>
      <c r="C30" t="s">
        <v>20</v>
      </c>
      <c r="D30">
        <v>624.94331065759638</v>
      </c>
      <c r="E30">
        <v>776.41723356009072</v>
      </c>
      <c r="F30">
        <v>700.68027210884361</v>
      </c>
      <c r="G30">
        <v>136.18833723156379</v>
      </c>
      <c r="H30">
        <v>1.646455683722764</v>
      </c>
      <c r="I30">
        <v>11.59801390121266</v>
      </c>
      <c r="J30">
        <v>0.1366608552921163</v>
      </c>
      <c r="K30">
        <v>1.2010375351051861</v>
      </c>
      <c r="L30">
        <v>5.7692116437232892</v>
      </c>
      <c r="M30">
        <v>12.17673789010294</v>
      </c>
      <c r="N30">
        <v>-0.57872398889028176</v>
      </c>
      <c r="O30">
        <v>1.6368446394491809</v>
      </c>
      <c r="P30">
        <v>9.6110442735828361E-3</v>
      </c>
      <c r="Q30">
        <v>0.5883350331638646</v>
      </c>
      <c r="R30">
        <v>4.4302399999999995</v>
      </c>
      <c r="S30">
        <v>500</v>
      </c>
      <c r="T30">
        <v>7</v>
      </c>
      <c r="U30">
        <v>501.58730158730157</v>
      </c>
      <c r="V30">
        <v>67.294587227414326</v>
      </c>
      <c r="W30">
        <v>2.5125679999999999</v>
      </c>
      <c r="X30">
        <v>102.76785</v>
      </c>
      <c r="Y30">
        <f t="shared" si="0"/>
        <v>38.068238513433009</v>
      </c>
    </row>
    <row r="31" spans="1:25" x14ac:dyDescent="0.25">
      <c r="A31" t="s">
        <v>179</v>
      </c>
      <c r="B31" t="s">
        <v>47</v>
      </c>
      <c r="C31" t="s">
        <v>16</v>
      </c>
      <c r="D31">
        <v>499.77324263038548</v>
      </c>
      <c r="E31">
        <v>598.18594104308386</v>
      </c>
      <c r="F31">
        <v>548.9795918367347</v>
      </c>
      <c r="G31">
        <v>113.4141259061531</v>
      </c>
      <c r="H31">
        <v>1.069703243616287</v>
      </c>
      <c r="I31">
        <v>9.285103026717934</v>
      </c>
      <c r="J31">
        <v>0.1090630843122479</v>
      </c>
      <c r="K31">
        <v>1.4314923300033879</v>
      </c>
      <c r="L31">
        <v>12.74615852504407</v>
      </c>
      <c r="M31">
        <v>9.1212072334692245</v>
      </c>
      <c r="N31">
        <v>0.16389579324870951</v>
      </c>
      <c r="O31">
        <v>1.323109984582207</v>
      </c>
      <c r="P31">
        <v>-0.25340674096591981</v>
      </c>
      <c r="Q31">
        <v>-0.41730253421462932</v>
      </c>
      <c r="R31">
        <v>2.5906399999999992</v>
      </c>
      <c r="S31">
        <v>540</v>
      </c>
      <c r="T31">
        <v>7</v>
      </c>
      <c r="U31">
        <v>358.73015873015873</v>
      </c>
      <c r="V31">
        <v>62.468410411928232</v>
      </c>
      <c r="W31">
        <v>0.75895199999999985</v>
      </c>
      <c r="X31">
        <v>81.031350000000003</v>
      </c>
      <c r="Y31">
        <f t="shared" si="0"/>
        <v>28.548337280141585</v>
      </c>
    </row>
    <row r="32" spans="1:25" x14ac:dyDescent="0.25">
      <c r="A32" t="s">
        <v>179</v>
      </c>
      <c r="B32" t="s">
        <v>48</v>
      </c>
      <c r="C32" t="s">
        <v>16</v>
      </c>
      <c r="D32">
        <v>561.67800453514735</v>
      </c>
      <c r="E32">
        <v>707.25623582766434</v>
      </c>
      <c r="F32">
        <v>634.46712018140579</v>
      </c>
      <c r="G32">
        <v>126.4173960631628</v>
      </c>
      <c r="H32">
        <v>1.582372079266489</v>
      </c>
      <c r="I32">
        <v>12.444311347727499</v>
      </c>
      <c r="J32">
        <v>0.12246595041424969</v>
      </c>
      <c r="K32">
        <v>1.025039826912242</v>
      </c>
      <c r="L32">
        <v>6.0605544266555436</v>
      </c>
      <c r="M32">
        <v>11.48585431731027</v>
      </c>
      <c r="N32">
        <v>0.95845703041722707</v>
      </c>
      <c r="O32">
        <v>1.699247460804447</v>
      </c>
      <c r="P32">
        <v>-0.11687538153795771</v>
      </c>
      <c r="Q32">
        <v>-1.075332411955185</v>
      </c>
      <c r="R32">
        <v>3.534320000000001</v>
      </c>
      <c r="S32">
        <v>550</v>
      </c>
      <c r="T32">
        <v>7</v>
      </c>
      <c r="U32">
        <v>424.48979591836735</v>
      </c>
      <c r="V32">
        <v>62.520038473869846</v>
      </c>
      <c r="W32">
        <v>1.9024600000000003</v>
      </c>
      <c r="X32">
        <v>96.566175000000001</v>
      </c>
      <c r="Y32">
        <f t="shared" si="0"/>
        <v>34.131381364312247</v>
      </c>
    </row>
    <row r="33" spans="1:25" x14ac:dyDescent="0.25">
      <c r="A33" t="s">
        <v>179</v>
      </c>
      <c r="B33" t="s">
        <v>49</v>
      </c>
      <c r="C33" t="s">
        <v>16</v>
      </c>
      <c r="D33">
        <v>553.28798185941037</v>
      </c>
      <c r="E33">
        <v>689.56916099773241</v>
      </c>
      <c r="F33">
        <v>621.42857142857133</v>
      </c>
      <c r="G33">
        <v>124.4639021472064</v>
      </c>
      <c r="H33">
        <v>1.481317164546978</v>
      </c>
      <c r="I33">
        <v>11.537040816326529</v>
      </c>
      <c r="J33">
        <v>0.1237684350243894</v>
      </c>
      <c r="K33">
        <v>1.1849461449653631</v>
      </c>
      <c r="L33">
        <v>7.2696889897363768</v>
      </c>
      <c r="M33">
        <v>11.049332345511329</v>
      </c>
      <c r="N33">
        <v>0.48770847081519803</v>
      </c>
      <c r="O33">
        <v>1.5963809192425871</v>
      </c>
      <c r="P33">
        <v>-0.1150637546956086</v>
      </c>
      <c r="Q33">
        <v>-0.60277222551080656</v>
      </c>
      <c r="R33">
        <v>3.6827999999999999</v>
      </c>
      <c r="S33">
        <v>610</v>
      </c>
      <c r="T33">
        <v>7</v>
      </c>
      <c r="U33">
        <v>431.29251700680271</v>
      </c>
      <c r="V33">
        <v>65.151266030910875</v>
      </c>
      <c r="W33">
        <v>1.8415000000000004</v>
      </c>
      <c r="X33">
        <v>94.186125000000004</v>
      </c>
      <c r="Y33">
        <f t="shared" si="0"/>
        <v>34.139063503282316</v>
      </c>
    </row>
    <row r="34" spans="1:25" x14ac:dyDescent="0.25">
      <c r="A34" t="s">
        <v>179</v>
      </c>
      <c r="B34" t="s">
        <v>50</v>
      </c>
      <c r="C34" t="s">
        <v>18</v>
      </c>
      <c r="D34">
        <v>537.41496598639458</v>
      </c>
      <c r="E34">
        <v>692.97052154195012</v>
      </c>
      <c r="F34">
        <v>615.19274376417229</v>
      </c>
      <c r="G34">
        <v>123.5260070624592</v>
      </c>
      <c r="H34">
        <v>1.6908212560386471</v>
      </c>
      <c r="I34">
        <v>10.86021788425515</v>
      </c>
      <c r="J34">
        <v>0.14845652640216489</v>
      </c>
      <c r="K34">
        <v>1.076634436741196</v>
      </c>
      <c r="L34">
        <v>6.1637175319120976</v>
      </c>
      <c r="M34">
        <v>11.71225794399718</v>
      </c>
      <c r="N34">
        <v>-0.85204005974203412</v>
      </c>
      <c r="O34">
        <v>1.521145750518812</v>
      </c>
      <c r="P34">
        <v>0.1696755055198351</v>
      </c>
      <c r="Q34">
        <v>1.021715565261869</v>
      </c>
      <c r="R34">
        <v>3.3392799999999996</v>
      </c>
      <c r="S34">
        <v>400</v>
      </c>
      <c r="T34">
        <v>6</v>
      </c>
      <c r="U34">
        <v>409.07029478458048</v>
      </c>
      <c r="V34">
        <v>61.491055846422341</v>
      </c>
      <c r="W34">
        <v>1.454912</v>
      </c>
      <c r="X34">
        <v>88.11345</v>
      </c>
      <c r="Y34">
        <f t="shared" si="0"/>
        <v>31.488658955600084</v>
      </c>
    </row>
    <row r="35" spans="1:25" x14ac:dyDescent="0.25">
      <c r="A35" t="s">
        <v>179</v>
      </c>
      <c r="B35" t="s">
        <v>51</v>
      </c>
      <c r="C35" t="s">
        <v>16</v>
      </c>
      <c r="D35">
        <v>541.04308390022675</v>
      </c>
      <c r="E35">
        <v>707.02947845804988</v>
      </c>
      <c r="F35">
        <v>624.03628117913831</v>
      </c>
      <c r="G35">
        <v>124.855414296335</v>
      </c>
      <c r="H35">
        <v>1.804199940845904</v>
      </c>
      <c r="I35">
        <v>11.86423641920536</v>
      </c>
      <c r="J35">
        <v>0.1444040404909909</v>
      </c>
      <c r="K35">
        <v>1.0076052084268261</v>
      </c>
      <c r="L35">
        <v>10.125915381540519</v>
      </c>
      <c r="M35">
        <v>12.160166027170559</v>
      </c>
      <c r="N35">
        <v>-0.29592960796519741</v>
      </c>
      <c r="O35">
        <v>1.6325726370550291</v>
      </c>
      <c r="P35">
        <v>0.17162730379087529</v>
      </c>
      <c r="Q35">
        <v>0.46755691175607272</v>
      </c>
      <c r="U35">
        <v>445.80498866213151</v>
      </c>
      <c r="V35">
        <v>65.680457558263853</v>
      </c>
    </row>
    <row r="36" spans="1:25" x14ac:dyDescent="0.25">
      <c r="A36" t="s">
        <v>179</v>
      </c>
      <c r="B36" t="s">
        <v>52</v>
      </c>
      <c r="C36" t="s">
        <v>20</v>
      </c>
      <c r="D36">
        <v>517.00680272108843</v>
      </c>
      <c r="E36">
        <v>675.51020408163265</v>
      </c>
      <c r="F36">
        <v>596.25850340136049</v>
      </c>
      <c r="G36">
        <v>120.6635057868527</v>
      </c>
      <c r="H36">
        <v>1.722863058266785</v>
      </c>
      <c r="I36">
        <v>12.053947550034509</v>
      </c>
      <c r="J36">
        <v>0.1371488018128989</v>
      </c>
      <c r="K36">
        <v>1.194010831793527</v>
      </c>
      <c r="L36">
        <v>8.3357022199210498</v>
      </c>
      <c r="M36">
        <v>11.68169065603708</v>
      </c>
      <c r="N36">
        <v>0.37225689399742562</v>
      </c>
      <c r="O36">
        <v>1.6407686117857989</v>
      </c>
      <c r="P36">
        <v>8.209444648098585E-2</v>
      </c>
      <c r="Q36">
        <v>-0.29016244751643971</v>
      </c>
      <c r="R36">
        <v>2.6953000000000005</v>
      </c>
      <c r="S36">
        <v>540</v>
      </c>
      <c r="T36">
        <v>7</v>
      </c>
      <c r="U36">
        <v>405.89569160997729</v>
      </c>
      <c r="V36">
        <v>62.590914177016884</v>
      </c>
      <c r="W36">
        <v>1.6449040000000004</v>
      </c>
      <c r="X36">
        <v>104.65125000000002</v>
      </c>
      <c r="Y36">
        <f t="shared" si="0"/>
        <v>32.017932260494057</v>
      </c>
    </row>
    <row r="37" spans="1:25" x14ac:dyDescent="0.25">
      <c r="A37" t="s">
        <v>179</v>
      </c>
      <c r="B37" t="s">
        <v>53</v>
      </c>
      <c r="C37" t="s">
        <v>16</v>
      </c>
      <c r="D37">
        <v>508.84353741496602</v>
      </c>
      <c r="E37">
        <v>636.73469387755097</v>
      </c>
      <c r="F37">
        <v>572.78911564625844</v>
      </c>
      <c r="G37">
        <v>117.0836000622226</v>
      </c>
      <c r="H37">
        <v>1.3901212658976629</v>
      </c>
      <c r="I37">
        <v>11.683355516119491</v>
      </c>
      <c r="J37">
        <v>0.1150969596858719</v>
      </c>
      <c r="K37">
        <v>1.2455447187858799</v>
      </c>
      <c r="L37">
        <v>6.1167275081841153</v>
      </c>
      <c r="M37">
        <v>10.38278580371413</v>
      </c>
      <c r="N37">
        <v>1.300569712405361</v>
      </c>
      <c r="O37">
        <v>1.590699798776759</v>
      </c>
      <c r="P37">
        <v>-0.20057853287909649</v>
      </c>
      <c r="Q37">
        <v>-1.5011482452844569</v>
      </c>
      <c r="R37">
        <v>3.6854200000000006</v>
      </c>
      <c r="S37">
        <v>540</v>
      </c>
      <c r="T37">
        <v>7</v>
      </c>
      <c r="U37">
        <v>396.82539682539681</v>
      </c>
      <c r="V37">
        <v>64.918684710351386</v>
      </c>
      <c r="W37">
        <v>1.7886680000000001</v>
      </c>
      <c r="X37">
        <v>87.245925</v>
      </c>
      <c r="Y37">
        <f t="shared" si="0"/>
        <v>33.690090342313965</v>
      </c>
    </row>
    <row r="38" spans="1:25" x14ac:dyDescent="0.25">
      <c r="A38" t="s">
        <v>179</v>
      </c>
      <c r="B38" t="s">
        <v>54</v>
      </c>
      <c r="C38" t="s">
        <v>18</v>
      </c>
      <c r="D38">
        <v>570.74829931972783</v>
      </c>
      <c r="E38">
        <v>698.63945578231289</v>
      </c>
      <c r="F38">
        <v>634.69387755102036</v>
      </c>
      <c r="G38">
        <v>126.45128055634621</v>
      </c>
      <c r="H38">
        <v>1.3901212658976629</v>
      </c>
      <c r="I38">
        <v>11.559872325741891</v>
      </c>
      <c r="J38">
        <v>0.1161908991985202</v>
      </c>
      <c r="K38">
        <v>1.252083507897175</v>
      </c>
      <c r="L38">
        <v>5.7908962348215534</v>
      </c>
      <c r="M38">
        <v>10.837399338093951</v>
      </c>
      <c r="N38">
        <v>0.7224729876479401</v>
      </c>
      <c r="O38">
        <v>1.604578765760984</v>
      </c>
      <c r="P38">
        <v>-0.21445749986332091</v>
      </c>
      <c r="Q38">
        <v>-0.93693048751126096</v>
      </c>
      <c r="R38">
        <v>4.2322800000000003</v>
      </c>
      <c r="S38">
        <v>580</v>
      </c>
      <c r="T38">
        <v>7</v>
      </c>
      <c r="U38">
        <v>423.58276643990928</v>
      </c>
      <c r="V38">
        <v>63.155901763496701</v>
      </c>
      <c r="W38">
        <v>1.8669</v>
      </c>
      <c r="X38">
        <v>82.002075000000005</v>
      </c>
      <c r="Y38">
        <f t="shared" si="0"/>
        <v>34.930927659756236</v>
      </c>
    </row>
    <row r="39" spans="1:25" x14ac:dyDescent="0.25">
      <c r="A39" t="s">
        <v>179</v>
      </c>
      <c r="B39" t="s">
        <v>55</v>
      </c>
      <c r="C39" t="s">
        <v>18</v>
      </c>
      <c r="D39">
        <v>504.08163265306121</v>
      </c>
      <c r="E39">
        <v>642.17687074829928</v>
      </c>
      <c r="F39">
        <v>573.12925170068024</v>
      </c>
      <c r="G39">
        <v>117.1357415013529</v>
      </c>
      <c r="H39">
        <v>1.501035196687371</v>
      </c>
      <c r="I39">
        <v>11.15037267080745</v>
      </c>
      <c r="J39">
        <v>0.1286972005241071</v>
      </c>
      <c r="K39">
        <v>1.1623287814124279</v>
      </c>
      <c r="L39">
        <v>5.7208214363527983</v>
      </c>
      <c r="M39">
        <v>10.76037357025734</v>
      </c>
      <c r="N39">
        <v>0.38999910055010639</v>
      </c>
      <c r="O39">
        <v>1.533742117209262</v>
      </c>
      <c r="P39">
        <v>-3.2706920521891503E-2</v>
      </c>
      <c r="Q39">
        <v>-0.42270602107199801</v>
      </c>
      <c r="R39">
        <v>3.6847599999999998</v>
      </c>
      <c r="S39">
        <v>670</v>
      </c>
      <c r="T39">
        <v>7</v>
      </c>
      <c r="U39">
        <v>378.23129251700681</v>
      </c>
      <c r="V39">
        <v>61.352401129943516</v>
      </c>
      <c r="W39">
        <v>1.7465040000000005</v>
      </c>
      <c r="X39">
        <v>83.750025000000008</v>
      </c>
      <c r="Y39">
        <f t="shared" si="0"/>
        <v>33.367160706635786</v>
      </c>
    </row>
    <row r="40" spans="1:25" x14ac:dyDescent="0.25">
      <c r="A40" t="s">
        <v>179</v>
      </c>
      <c r="B40" t="s">
        <v>56</v>
      </c>
      <c r="C40" t="s">
        <v>18</v>
      </c>
      <c r="D40">
        <v>486.84807256235831</v>
      </c>
      <c r="E40">
        <v>661.67800453514735</v>
      </c>
      <c r="F40">
        <v>574.26303854875277</v>
      </c>
      <c r="G40">
        <v>117.3094904628263</v>
      </c>
      <c r="H40">
        <v>1.9003253475303159</v>
      </c>
      <c r="I40">
        <v>11.98277136941733</v>
      </c>
      <c r="J40">
        <v>0.15085816621282769</v>
      </c>
      <c r="K40">
        <v>1.006462710258891</v>
      </c>
      <c r="L40">
        <v>8.6917061300034337</v>
      </c>
      <c r="M40">
        <v>12.119012040365631</v>
      </c>
      <c r="N40">
        <v>-0.13624067094830219</v>
      </c>
      <c r="O40">
        <v>1.623435634861117</v>
      </c>
      <c r="P40">
        <v>0.27688971266919921</v>
      </c>
      <c r="Q40">
        <v>0.41313038361750132</v>
      </c>
      <c r="R40">
        <v>3.4586600000000001</v>
      </c>
      <c r="S40">
        <v>540</v>
      </c>
      <c r="T40">
        <v>7</v>
      </c>
      <c r="U40">
        <v>405.89569160997729</v>
      </c>
      <c r="V40">
        <v>63.899360292437748</v>
      </c>
      <c r="W40">
        <v>1.61544</v>
      </c>
      <c r="X40">
        <v>89.603399999999993</v>
      </c>
      <c r="Y40">
        <f t="shared" si="0"/>
        <v>32.896330690614057</v>
      </c>
    </row>
    <row r="41" spans="1:25" x14ac:dyDescent="0.25">
      <c r="A41" t="s">
        <v>179</v>
      </c>
      <c r="B41" t="s">
        <v>57</v>
      </c>
      <c r="C41" t="s">
        <v>16</v>
      </c>
      <c r="D41">
        <v>531.29251700680265</v>
      </c>
      <c r="E41">
        <v>662.58503401360542</v>
      </c>
      <c r="F41">
        <v>596.9387755102041</v>
      </c>
      <c r="G41">
        <v>120.7667399333028</v>
      </c>
      <c r="H41">
        <v>1.427092576160899</v>
      </c>
      <c r="I41">
        <v>11.68725426402445</v>
      </c>
      <c r="J41">
        <v>0.1172282096222973</v>
      </c>
      <c r="K41">
        <v>1.084471504620214</v>
      </c>
      <c r="L41">
        <v>6.0920878328774961</v>
      </c>
      <c r="M41">
        <v>10.686547695825061</v>
      </c>
      <c r="N41">
        <v>1.000706568199391</v>
      </c>
      <c r="O41">
        <v>1.6017765525029339</v>
      </c>
      <c r="P41">
        <v>-0.1746839763420347</v>
      </c>
      <c r="Q41">
        <v>-1.175390544541425</v>
      </c>
      <c r="R41">
        <v>3.3410199999999999</v>
      </c>
      <c r="S41">
        <v>390</v>
      </c>
      <c r="T41">
        <v>4</v>
      </c>
      <c r="U41">
        <v>416.32653061224488</v>
      </c>
      <c r="V41">
        <v>65.451745379876797</v>
      </c>
      <c r="W41">
        <v>1.690116</v>
      </c>
      <c r="X41">
        <v>94.32480000000001</v>
      </c>
      <c r="Y41">
        <f t="shared" si="0"/>
        <v>30.674266873128161</v>
      </c>
    </row>
    <row r="42" spans="1:25" x14ac:dyDescent="0.25">
      <c r="A42" t="s">
        <v>179</v>
      </c>
      <c r="B42" t="s">
        <v>58</v>
      </c>
      <c r="C42" t="s">
        <v>18</v>
      </c>
      <c r="D42">
        <v>500.6802721088435</v>
      </c>
      <c r="E42">
        <v>634.92063492063494</v>
      </c>
      <c r="F42">
        <v>567.80045351473927</v>
      </c>
      <c r="G42">
        <v>116.31796654476879</v>
      </c>
      <c r="H42">
        <v>1.4591343783890369</v>
      </c>
      <c r="I42">
        <v>11.07535640343094</v>
      </c>
      <c r="J42">
        <v>0.12714393579123989</v>
      </c>
      <c r="K42">
        <v>1.211449462691953</v>
      </c>
      <c r="L42">
        <v>7.5965503985375609</v>
      </c>
      <c r="M42">
        <v>10.57899862222459</v>
      </c>
      <c r="N42">
        <v>0.49635778120634733</v>
      </c>
      <c r="O42">
        <v>1.523337558451783</v>
      </c>
      <c r="P42">
        <v>-6.4203180062745835E-2</v>
      </c>
      <c r="Q42">
        <v>-0.56056096126909316</v>
      </c>
      <c r="R42">
        <v>3.5454599999999998</v>
      </c>
      <c r="S42">
        <v>560</v>
      </c>
      <c r="T42">
        <v>7</v>
      </c>
      <c r="U42">
        <v>385.03401360544217</v>
      </c>
      <c r="V42">
        <v>63.169642857142861</v>
      </c>
      <c r="W42">
        <v>1.5133320000000001</v>
      </c>
      <c r="X42">
        <v>81.750524999999996</v>
      </c>
      <c r="Y42">
        <f t="shared" si="0"/>
        <v>32.542943797565854</v>
      </c>
    </row>
    <row r="43" spans="1:25" x14ac:dyDescent="0.25">
      <c r="A43" t="s">
        <v>179</v>
      </c>
      <c r="B43" s="2" t="s">
        <v>59</v>
      </c>
      <c r="C43" s="2" t="s">
        <v>18</v>
      </c>
      <c r="D43" s="2">
        <v>519.04761904761904</v>
      </c>
      <c r="E43" s="2">
        <v>666.66666666666663</v>
      </c>
      <c r="F43" s="2">
        <v>592.85714285714289</v>
      </c>
      <c r="G43" s="2">
        <v>120.1468924739298</v>
      </c>
      <c r="H43" s="2">
        <v>1.604554865424431</v>
      </c>
      <c r="I43" s="2">
        <v>11.240487528344669</v>
      </c>
      <c r="J43" s="2">
        <v>0.14169706691083769</v>
      </c>
      <c r="K43" s="2">
        <v>1.287930175990448</v>
      </c>
      <c r="L43" s="2">
        <v>7.3458855957531828</v>
      </c>
      <c r="M43" s="2">
        <v>11.256558246625239</v>
      </c>
      <c r="N43" s="2">
        <v>-1.6070718280570159E-2</v>
      </c>
      <c r="O43" s="2">
        <v>1.552112104994156</v>
      </c>
      <c r="P43" s="2">
        <v>5.2442760430275293E-2</v>
      </c>
      <c r="Q43" s="2">
        <v>6.8513478710845455E-2</v>
      </c>
      <c r="R43" s="2">
        <v>2.7106200000000005</v>
      </c>
      <c r="S43" s="2">
        <v>430</v>
      </c>
      <c r="T43" s="2">
        <v>6</v>
      </c>
      <c r="U43" s="2">
        <v>411.3378684807256</v>
      </c>
      <c r="V43" s="2">
        <v>64.271541950113388</v>
      </c>
      <c r="W43" s="2">
        <v>1.2913359999999998</v>
      </c>
      <c r="X43" s="2">
        <v>98.307675000000003</v>
      </c>
      <c r="Y43" s="2">
        <f t="shared" si="0"/>
        <v>30.078477349570111</v>
      </c>
    </row>
    <row r="44" spans="1:25" x14ac:dyDescent="0.25">
      <c r="A44" t="s">
        <v>180</v>
      </c>
      <c r="B44" t="s">
        <v>60</v>
      </c>
      <c r="C44" t="s">
        <v>61</v>
      </c>
      <c r="D44">
        <v>567.44472970398533</v>
      </c>
      <c r="E44">
        <v>736.86168137819675</v>
      </c>
      <c r="F44">
        <v>652.15320554109098</v>
      </c>
      <c r="G44">
        <v>129.0512528165076</v>
      </c>
      <c r="H44">
        <v>2.1177118959999999</v>
      </c>
      <c r="I44">
        <v>11.963188110000001</v>
      </c>
      <c r="J44">
        <v>0.177019025</v>
      </c>
      <c r="K44">
        <v>1.1253684798874151</v>
      </c>
      <c r="L44">
        <v>7.7442543132218393</v>
      </c>
      <c r="M44">
        <v>11.448455604669761</v>
      </c>
      <c r="N44">
        <v>0.51473250533024029</v>
      </c>
      <c r="O44">
        <v>2.111354318813969</v>
      </c>
      <c r="P44">
        <v>6.3575771860313601E-3</v>
      </c>
      <c r="Q44">
        <v>-0.50837492814420893</v>
      </c>
      <c r="R44">
        <v>4.4390400000000003</v>
      </c>
      <c r="S44">
        <v>440</v>
      </c>
      <c r="T44">
        <f>6</f>
        <v>6</v>
      </c>
      <c r="U44">
        <v>437.26356469595669</v>
      </c>
      <c r="V44">
        <v>63.129080631780376</v>
      </c>
      <c r="W44">
        <v>2.4384000000000001</v>
      </c>
      <c r="X44">
        <v>91.2127208</v>
      </c>
      <c r="Y44">
        <f t="shared" si="0"/>
        <v>36.431813698504357</v>
      </c>
    </row>
    <row r="45" spans="1:25" x14ac:dyDescent="0.25">
      <c r="A45" t="s">
        <v>180</v>
      </c>
      <c r="B45" t="s">
        <v>62</v>
      </c>
      <c r="C45" t="s">
        <v>61</v>
      </c>
      <c r="D45">
        <v>579.01134889459411</v>
      </c>
      <c r="E45">
        <v>729.83099128194431</v>
      </c>
      <c r="F45">
        <v>654.42117008826926</v>
      </c>
      <c r="G45">
        <v>129.38770361062191</v>
      </c>
      <c r="H45">
        <v>1.8852455299999999</v>
      </c>
      <c r="I45">
        <v>11.893890949999999</v>
      </c>
      <c r="J45">
        <v>0.15850536500000001</v>
      </c>
      <c r="K45">
        <v>1.2484541467432639</v>
      </c>
      <c r="L45">
        <v>8.1822492945812026</v>
      </c>
      <c r="M45">
        <v>11.335937451582801</v>
      </c>
      <c r="N45">
        <v>0.55795349841719499</v>
      </c>
      <c r="O45">
        <v>2.1073592591790939</v>
      </c>
      <c r="P45">
        <v>-0.222113729179094</v>
      </c>
      <c r="Q45">
        <v>-0.78006722759628899</v>
      </c>
      <c r="R45">
        <v>3.88856</v>
      </c>
      <c r="S45">
        <v>660</v>
      </c>
      <c r="T45">
        <f>7</f>
        <v>7</v>
      </c>
      <c r="U45">
        <v>454.500095254511</v>
      </c>
      <c r="V45">
        <v>66.249685940468567</v>
      </c>
      <c r="W45">
        <v>2.2351999999999999</v>
      </c>
      <c r="X45">
        <v>103.2062452</v>
      </c>
      <c r="Y45">
        <f t="shared" si="0"/>
        <v>35.824307035892232</v>
      </c>
    </row>
    <row r="46" spans="1:25" x14ac:dyDescent="0.25">
      <c r="A46" t="s">
        <v>180</v>
      </c>
      <c r="B46" t="s">
        <v>63</v>
      </c>
      <c r="C46" t="s">
        <v>64</v>
      </c>
      <c r="D46">
        <v>585.58844608141089</v>
      </c>
      <c r="E46">
        <v>730.51138064609779</v>
      </c>
      <c r="F46">
        <v>658.04991336375429</v>
      </c>
      <c r="G46">
        <v>129.92541934319229</v>
      </c>
      <c r="H46">
        <v>1.8115366820000001</v>
      </c>
      <c r="I46">
        <v>10.67693002</v>
      </c>
      <c r="J46">
        <v>0.16966831099999999</v>
      </c>
      <c r="K46">
        <v>1.0947661645236251</v>
      </c>
      <c r="L46">
        <v>7.4107112266558941</v>
      </c>
      <c r="M46">
        <v>11.33426799689299</v>
      </c>
      <c r="N46">
        <v>-0.65733797689299323</v>
      </c>
      <c r="O46">
        <v>1.996397667120952</v>
      </c>
      <c r="P46">
        <v>-0.1848609851209522</v>
      </c>
      <c r="Q46">
        <v>0.47247699177204111</v>
      </c>
      <c r="R46">
        <v>2.9443199999999998</v>
      </c>
      <c r="S46">
        <v>380</v>
      </c>
      <c r="T46">
        <f>4</f>
        <v>4</v>
      </c>
      <c r="U46">
        <v>451.77853779789717</v>
      </c>
      <c r="V46">
        <v>65.79164657882454</v>
      </c>
      <c r="W46">
        <v>1.524</v>
      </c>
      <c r="X46">
        <v>103.63850239999999</v>
      </c>
      <c r="Y46">
        <f t="shared" si="0"/>
        <v>29.957102188073097</v>
      </c>
    </row>
    <row r="47" spans="1:25" x14ac:dyDescent="0.25">
      <c r="A47" t="s">
        <v>180</v>
      </c>
      <c r="B47" t="s">
        <v>65</v>
      </c>
      <c r="C47" t="s">
        <v>64</v>
      </c>
      <c r="D47">
        <v>592.39233972294551</v>
      </c>
      <c r="E47">
        <v>738.44925656122155</v>
      </c>
      <c r="F47">
        <v>665.42079814208353</v>
      </c>
      <c r="G47">
        <v>131.01537919851319</v>
      </c>
      <c r="H47">
        <v>1.82571146</v>
      </c>
      <c r="I47">
        <v>11.43657101</v>
      </c>
      <c r="J47">
        <v>0.159638012</v>
      </c>
      <c r="K47">
        <v>1.342360392501305</v>
      </c>
      <c r="L47">
        <v>10.80775122023263</v>
      </c>
      <c r="M47">
        <v>11.428740906886651</v>
      </c>
      <c r="N47">
        <v>7.8301031133456434E-3</v>
      </c>
      <c r="O47">
        <v>2.0764915127724639</v>
      </c>
      <c r="P47">
        <v>-0.2507800527724644</v>
      </c>
      <c r="Q47">
        <v>-0.25861015588580999</v>
      </c>
      <c r="R47">
        <v>2.4260799999999998</v>
      </c>
      <c r="S47">
        <v>400</v>
      </c>
      <c r="T47">
        <f>6</f>
        <v>6</v>
      </c>
      <c r="U47">
        <v>444.52105124692696</v>
      </c>
      <c r="V47">
        <v>64.038893822764976</v>
      </c>
      <c r="W47">
        <v>1.016</v>
      </c>
      <c r="X47">
        <v>106.8126896</v>
      </c>
      <c r="Y47">
        <f t="shared" si="0"/>
        <v>28.860498111168727</v>
      </c>
    </row>
    <row r="48" spans="1:25" x14ac:dyDescent="0.25">
      <c r="A48" t="s">
        <v>180</v>
      </c>
      <c r="B48" t="s">
        <v>66</v>
      </c>
      <c r="C48" t="s">
        <v>61</v>
      </c>
      <c r="D48">
        <v>522.99262457929262</v>
      </c>
      <c r="E48">
        <v>658.84370095526674</v>
      </c>
      <c r="F48">
        <v>590.91816276727968</v>
      </c>
      <c r="G48">
        <v>119.85206031432941</v>
      </c>
      <c r="H48">
        <v>1.698138455</v>
      </c>
      <c r="I48">
        <v>9.6571757379999994</v>
      </c>
      <c r="J48">
        <v>0.17584214100000001</v>
      </c>
      <c r="K48">
        <v>1.217060304065865</v>
      </c>
      <c r="L48">
        <v>7.6806729984516426</v>
      </c>
      <c r="M48">
        <v>10.47168476317106</v>
      </c>
      <c r="N48">
        <v>-0.81450902517106272</v>
      </c>
      <c r="O48">
        <v>1.8234668677755279</v>
      </c>
      <c r="P48">
        <v>-0.12532841277552831</v>
      </c>
      <c r="Q48">
        <v>0.68918061239553441</v>
      </c>
      <c r="R48">
        <v>3.5445199999999999</v>
      </c>
      <c r="S48">
        <v>660</v>
      </c>
      <c r="T48">
        <f>7</f>
        <v>7</v>
      </c>
      <c r="U48">
        <v>395.0794241184422</v>
      </c>
      <c r="V48">
        <v>63.793166582990594</v>
      </c>
      <c r="W48">
        <v>1.524</v>
      </c>
      <c r="X48">
        <v>85.993376400000002</v>
      </c>
      <c r="Y48">
        <f t="shared" si="0"/>
        <v>32.501706237047699</v>
      </c>
    </row>
    <row r="49" spans="1:25" x14ac:dyDescent="0.25">
      <c r="A49" t="s">
        <v>180</v>
      </c>
      <c r="B49" t="s">
        <v>67</v>
      </c>
      <c r="C49" t="s">
        <v>64</v>
      </c>
      <c r="D49">
        <v>527.52855367364907</v>
      </c>
      <c r="E49">
        <v>697.17230180257832</v>
      </c>
      <c r="F49">
        <v>612.35042773811369</v>
      </c>
      <c r="G49">
        <v>123.0977228617605</v>
      </c>
      <c r="H49">
        <v>2.1205468519999999</v>
      </c>
      <c r="I49">
        <v>11.48104936</v>
      </c>
      <c r="J49">
        <v>0.184699742</v>
      </c>
      <c r="K49">
        <v>1.299986808898385</v>
      </c>
      <c r="L49">
        <v>7.6717306568302881</v>
      </c>
      <c r="M49">
        <v>10.98044179304897</v>
      </c>
      <c r="N49">
        <v>0.50060756695102882</v>
      </c>
      <c r="O49">
        <v>2.0205458828777552</v>
      </c>
      <c r="P49">
        <v>0.1000009691222452</v>
      </c>
      <c r="Q49">
        <v>-0.40060659782878361</v>
      </c>
      <c r="R49">
        <v>2.9917199999999999</v>
      </c>
      <c r="S49">
        <v>440</v>
      </c>
      <c r="T49">
        <f>6</f>
        <v>6</v>
      </c>
      <c r="U49">
        <v>425.92374196006574</v>
      </c>
      <c r="V49">
        <v>64.992594028396894</v>
      </c>
      <c r="W49">
        <v>1.7272000000000001</v>
      </c>
      <c r="X49">
        <v>106.3804324</v>
      </c>
      <c r="Y49">
        <f t="shared" si="0"/>
        <v>31.857401000827274</v>
      </c>
    </row>
    <row r="50" spans="1:25" x14ac:dyDescent="0.25">
      <c r="A50" t="s">
        <v>180</v>
      </c>
      <c r="B50" t="s">
        <v>68</v>
      </c>
      <c r="C50" t="s">
        <v>69</v>
      </c>
      <c r="D50">
        <v>582.86688862479707</v>
      </c>
      <c r="E50">
        <v>704.20299189883065</v>
      </c>
      <c r="F50">
        <v>643.53494026181386</v>
      </c>
      <c r="G50">
        <v>127.7700599860156</v>
      </c>
      <c r="H50">
        <v>1.516701291</v>
      </c>
      <c r="I50">
        <v>10.238502220000001</v>
      </c>
      <c r="J50">
        <v>0.148137028</v>
      </c>
      <c r="K50">
        <v>1.2312868689531009</v>
      </c>
      <c r="L50">
        <v>7.6034890542774356</v>
      </c>
      <c r="M50">
        <v>10.987846465140629</v>
      </c>
      <c r="N50">
        <v>-0.7493442451406267</v>
      </c>
      <c r="O50">
        <v>1.9385761915836801</v>
      </c>
      <c r="P50">
        <v>-0.42187490058368021</v>
      </c>
      <c r="Q50">
        <v>0.32746934455694648</v>
      </c>
      <c r="R50">
        <v>2.8168799999999998</v>
      </c>
      <c r="S50">
        <v>440</v>
      </c>
      <c r="T50">
        <f>6</f>
        <v>6</v>
      </c>
      <c r="U50">
        <v>394.62583120900655</v>
      </c>
      <c r="V50">
        <v>59.61558227968311</v>
      </c>
      <c r="W50">
        <v>1.524</v>
      </c>
      <c r="X50">
        <v>100.58689560000001</v>
      </c>
      <c r="Y50">
        <f t="shared" si="0"/>
        <v>30.68868756819117</v>
      </c>
    </row>
    <row r="51" spans="1:25" x14ac:dyDescent="0.25">
      <c r="A51" t="s">
        <v>180</v>
      </c>
      <c r="B51" t="s">
        <v>70</v>
      </c>
      <c r="C51" t="s">
        <v>61</v>
      </c>
      <c r="D51">
        <v>547.03304877938149</v>
      </c>
      <c r="E51">
        <v>710.5532926309296</v>
      </c>
      <c r="F51">
        <v>628.79317070515549</v>
      </c>
      <c r="G51">
        <v>125.5685450492755</v>
      </c>
      <c r="H51">
        <v>2.044003048</v>
      </c>
      <c r="I51">
        <v>11.34221093</v>
      </c>
      <c r="J51">
        <v>0.18021204699999999</v>
      </c>
      <c r="K51">
        <v>1.158346485286265</v>
      </c>
      <c r="L51">
        <v>8.8731394554175935</v>
      </c>
      <c r="M51">
        <v>11.12959081753953</v>
      </c>
      <c r="N51">
        <v>0.2126201124604741</v>
      </c>
      <c r="O51">
        <v>2.0261914892178261</v>
      </c>
      <c r="P51">
        <v>1.781155878217389E-2</v>
      </c>
      <c r="Q51">
        <v>-0.19480855367830019</v>
      </c>
      <c r="R51">
        <v>3.5566399999999998</v>
      </c>
      <c r="S51">
        <v>470</v>
      </c>
      <c r="T51">
        <f>6</f>
        <v>6</v>
      </c>
      <c r="U51">
        <v>431.82044978272904</v>
      </c>
      <c r="V51">
        <v>64.651513405100118</v>
      </c>
      <c r="W51">
        <v>2.4384000000000001</v>
      </c>
      <c r="X51">
        <v>108.08365480000001</v>
      </c>
      <c r="Y51">
        <f t="shared" si="0"/>
        <v>35.186482231082081</v>
      </c>
    </row>
    <row r="52" spans="1:25" x14ac:dyDescent="0.25">
      <c r="A52" t="s">
        <v>180</v>
      </c>
      <c r="B52" t="s">
        <v>71</v>
      </c>
      <c r="C52" t="s">
        <v>64</v>
      </c>
      <c r="D52">
        <v>546.35265941522812</v>
      </c>
      <c r="E52">
        <v>679.02858542515264</v>
      </c>
      <c r="F52">
        <v>612.69062242019038</v>
      </c>
      <c r="G52">
        <v>123.1490100185885</v>
      </c>
      <c r="H52">
        <v>1.6584490750000001</v>
      </c>
      <c r="I52">
        <v>10.345719770000001</v>
      </c>
      <c r="J52">
        <v>0.16030291899999999</v>
      </c>
      <c r="K52">
        <v>1.1424799693291929</v>
      </c>
      <c r="L52">
        <v>7.5464140466482341</v>
      </c>
      <c r="M52">
        <v>10.708058481786001</v>
      </c>
      <c r="N52">
        <v>-0.36233871178600369</v>
      </c>
      <c r="O52">
        <v>1.9136059932879359</v>
      </c>
      <c r="P52">
        <v>-0.2551569182879363</v>
      </c>
      <c r="Q52">
        <v>0.1071817934980674</v>
      </c>
      <c r="R52">
        <v>3.0316800000000002</v>
      </c>
      <c r="S52">
        <v>450</v>
      </c>
      <c r="T52">
        <f>6</f>
        <v>6</v>
      </c>
      <c r="U52">
        <v>404.60487521659064</v>
      </c>
      <c r="V52">
        <v>63.389189729319753</v>
      </c>
      <c r="W52">
        <v>1.7272000000000001</v>
      </c>
      <c r="X52">
        <v>97.941739600000005</v>
      </c>
      <c r="Y52">
        <f t="shared" si="0"/>
        <v>32.012698354378685</v>
      </c>
    </row>
    <row r="53" spans="1:25" x14ac:dyDescent="0.25">
      <c r="A53" t="s">
        <v>180</v>
      </c>
      <c r="B53" t="s">
        <v>72</v>
      </c>
      <c r="C53" t="s">
        <v>69</v>
      </c>
      <c r="D53">
        <v>502.35414719997101</v>
      </c>
      <c r="E53">
        <v>583.32048153423273</v>
      </c>
      <c r="F53">
        <v>542.83731436710184</v>
      </c>
      <c r="G53">
        <v>112.4610851886351</v>
      </c>
      <c r="H53">
        <v>1.0120791790000001</v>
      </c>
      <c r="I53">
        <v>9.8325216340000008</v>
      </c>
      <c r="J53">
        <v>0.102931803</v>
      </c>
      <c r="K53">
        <v>1.328744678265964</v>
      </c>
      <c r="L53">
        <v>18.533176711522529</v>
      </c>
      <c r="M53">
        <v>9.4781616143954253</v>
      </c>
      <c r="N53">
        <v>0.35436001960457553</v>
      </c>
      <c r="O53">
        <v>1.783894129369884</v>
      </c>
      <c r="P53">
        <v>-0.77181495036988434</v>
      </c>
      <c r="Q53">
        <v>-1.1261749699744601</v>
      </c>
      <c r="R53">
        <v>3.5316000000000001</v>
      </c>
      <c r="S53">
        <v>520</v>
      </c>
      <c r="T53">
        <f>7</f>
        <v>7</v>
      </c>
      <c r="U53">
        <v>352.89528354092772</v>
      </c>
      <c r="V53">
        <v>64.359220413425902</v>
      </c>
      <c r="W53">
        <v>1.6255999999999999</v>
      </c>
      <c r="X53">
        <v>83.161124000000001</v>
      </c>
      <c r="Y53">
        <f t="shared" si="0"/>
        <v>32.348147301911041</v>
      </c>
    </row>
    <row r="54" spans="1:25" x14ac:dyDescent="0.25">
      <c r="A54" t="s">
        <v>180</v>
      </c>
      <c r="B54" t="s">
        <v>73</v>
      </c>
      <c r="C54" t="s">
        <v>69</v>
      </c>
      <c r="D54">
        <v>521.40504939626794</v>
      </c>
      <c r="E54">
        <v>610.98964900980673</v>
      </c>
      <c r="F54">
        <v>566.19734920303733</v>
      </c>
      <c r="G54">
        <v>116.0715740150725</v>
      </c>
      <c r="H54">
        <v>1.1198074950000001</v>
      </c>
      <c r="I54">
        <v>9.5286634800000005</v>
      </c>
      <c r="J54">
        <v>0.117519891</v>
      </c>
      <c r="K54">
        <v>1.267550220861499</v>
      </c>
      <c r="L54">
        <v>10.57855366864975</v>
      </c>
      <c r="M54">
        <v>9.827458465847128</v>
      </c>
      <c r="N54">
        <v>-0.29879498584712749</v>
      </c>
      <c r="O54">
        <v>1.7825974785377861</v>
      </c>
      <c r="P54">
        <v>-0.66278998353778551</v>
      </c>
      <c r="Q54">
        <v>-0.36399499769065802</v>
      </c>
      <c r="R54">
        <v>2.9150800000000001</v>
      </c>
      <c r="S54">
        <v>460</v>
      </c>
      <c r="T54">
        <f>6</f>
        <v>6</v>
      </c>
      <c r="U54">
        <v>369.67822119004637</v>
      </c>
      <c r="V54">
        <v>64.366835680004513</v>
      </c>
      <c r="W54">
        <v>1.2192000000000001</v>
      </c>
      <c r="X54">
        <v>86.328859600000001</v>
      </c>
      <c r="Y54">
        <f t="shared" si="0"/>
        <v>29.739547488762405</v>
      </c>
    </row>
    <row r="55" spans="1:25" x14ac:dyDescent="0.25">
      <c r="A55" t="s">
        <v>180</v>
      </c>
      <c r="B55" t="s">
        <v>74</v>
      </c>
      <c r="C55" t="s">
        <v>61</v>
      </c>
      <c r="D55">
        <v>484.21043082254539</v>
      </c>
      <c r="E55">
        <v>594.43350781540585</v>
      </c>
      <c r="F55">
        <v>539.32196931897568</v>
      </c>
      <c r="G55">
        <v>111.91442913330199</v>
      </c>
      <c r="H55">
        <v>1.377788462</v>
      </c>
      <c r="I55">
        <v>9.4196775259999992</v>
      </c>
      <c r="J55">
        <v>0.14626705200000001</v>
      </c>
      <c r="K55">
        <v>1.1804208508161691</v>
      </c>
      <c r="L55">
        <v>6.8348653266842048</v>
      </c>
      <c r="M55">
        <v>9.6538021256001691</v>
      </c>
      <c r="N55">
        <v>-0.23412459960017001</v>
      </c>
      <c r="O55">
        <v>1.7407125527236309</v>
      </c>
      <c r="P55">
        <v>-0.3629240907236313</v>
      </c>
      <c r="Q55">
        <v>-0.12879949112346131</v>
      </c>
      <c r="R55">
        <v>3.4245999999999999</v>
      </c>
      <c r="S55">
        <v>530</v>
      </c>
      <c r="T55">
        <f>7</f>
        <v>7</v>
      </c>
      <c r="U55">
        <v>363.32792045794741</v>
      </c>
      <c r="V55">
        <v>65.023094971121907</v>
      </c>
      <c r="W55">
        <v>1.8288</v>
      </c>
      <c r="X55">
        <v>89.096596000000005</v>
      </c>
      <c r="Y55">
        <f t="shared" si="0"/>
        <v>33.101444855067072</v>
      </c>
    </row>
    <row r="56" spans="1:25" x14ac:dyDescent="0.25">
      <c r="A56" t="s">
        <v>180</v>
      </c>
      <c r="B56" t="s">
        <v>75</v>
      </c>
      <c r="C56" t="s">
        <v>64</v>
      </c>
      <c r="D56">
        <v>496.23064292258988</v>
      </c>
      <c r="E56">
        <v>631.17453347969274</v>
      </c>
      <c r="F56">
        <v>563.70258820114134</v>
      </c>
      <c r="G56">
        <v>115.68778916850481</v>
      </c>
      <c r="H56">
        <v>1.6867986319999999</v>
      </c>
      <c r="I56">
        <v>11.03290496</v>
      </c>
      <c r="J56">
        <v>0.152887987</v>
      </c>
      <c r="K56">
        <v>1.331600956422474</v>
      </c>
      <c r="L56">
        <v>11.118662361598201</v>
      </c>
      <c r="M56">
        <v>10.136356876692551</v>
      </c>
      <c r="N56">
        <v>0.89654808330745084</v>
      </c>
      <c r="O56">
        <v>1.9218868376116911</v>
      </c>
      <c r="P56">
        <v>-0.23508820561169119</v>
      </c>
      <c r="Q56">
        <v>-1.131636288919142</v>
      </c>
      <c r="R56">
        <v>3.2560799999999999</v>
      </c>
      <c r="S56">
        <v>430</v>
      </c>
      <c r="T56">
        <f>6</f>
        <v>6</v>
      </c>
      <c r="U56">
        <v>365.59588500512564</v>
      </c>
      <c r="V56">
        <v>61.620324001656556</v>
      </c>
      <c r="W56">
        <v>1.4224000000000001</v>
      </c>
      <c r="X56">
        <v>84.812733600000001</v>
      </c>
      <c r="Y56">
        <f t="shared" si="0"/>
        <v>30.713809744005694</v>
      </c>
    </row>
    <row r="57" spans="1:25" x14ac:dyDescent="0.25">
      <c r="A57" t="s">
        <v>180</v>
      </c>
      <c r="B57" t="s">
        <v>76</v>
      </c>
      <c r="C57" t="s">
        <v>61</v>
      </c>
      <c r="D57">
        <v>459.48961725830299</v>
      </c>
      <c r="E57">
        <v>626.18501147590064</v>
      </c>
      <c r="F57">
        <v>542.83731436710184</v>
      </c>
      <c r="G57">
        <v>112.4610851886351</v>
      </c>
      <c r="H57">
        <v>2.083692428</v>
      </c>
      <c r="I57">
        <v>9.8424572589999997</v>
      </c>
      <c r="J57">
        <v>0.21170449299999999</v>
      </c>
      <c r="K57">
        <v>1.5550429252385469</v>
      </c>
      <c r="L57">
        <v>21.326642625329811</v>
      </c>
      <c r="M57">
        <v>10.11920708962672</v>
      </c>
      <c r="N57">
        <v>-0.27674983062671998</v>
      </c>
      <c r="O57">
        <v>1.7848334036148841</v>
      </c>
      <c r="P57">
        <v>0.29885902438511569</v>
      </c>
      <c r="Q57">
        <v>0.57560885501183567</v>
      </c>
      <c r="R57">
        <v>2.5855199999999998</v>
      </c>
      <c r="S57">
        <v>490</v>
      </c>
      <c r="T57">
        <f>6</f>
        <v>6</v>
      </c>
      <c r="U57">
        <v>380.11085810706612</v>
      </c>
      <c r="V57">
        <v>64.577280816212806</v>
      </c>
      <c r="W57">
        <v>1.016</v>
      </c>
      <c r="X57">
        <v>90.703044399999996</v>
      </c>
      <c r="Y57">
        <f t="shared" si="0"/>
        <v>28.695765291406431</v>
      </c>
    </row>
    <row r="58" spans="1:25" x14ac:dyDescent="0.25">
      <c r="A58" t="s">
        <v>180</v>
      </c>
      <c r="B58" t="s">
        <v>77</v>
      </c>
      <c r="C58" t="s">
        <v>64</v>
      </c>
      <c r="D58">
        <v>542.49711968502515</v>
      </c>
      <c r="E58">
        <v>719.85194727436033</v>
      </c>
      <c r="F58">
        <v>631.17453347969274</v>
      </c>
      <c r="G58">
        <v>125.92504095811179</v>
      </c>
      <c r="H58">
        <v>2.216935345</v>
      </c>
      <c r="I58">
        <v>11.00274581</v>
      </c>
      <c r="J58">
        <v>0.20148928099999999</v>
      </c>
      <c r="K58">
        <v>1.21877531127905</v>
      </c>
      <c r="L58">
        <v>13.28128978024078</v>
      </c>
      <c r="M58">
        <v>11.26116605642226</v>
      </c>
      <c r="N58">
        <v>-0.2584202464222578</v>
      </c>
      <c r="O58">
        <v>1.996808114052935</v>
      </c>
      <c r="P58">
        <v>0.22012723094706479</v>
      </c>
      <c r="Q58">
        <v>0.47854747736932263</v>
      </c>
      <c r="R58">
        <v>2.7981199999999999</v>
      </c>
      <c r="S58">
        <v>440</v>
      </c>
      <c r="T58">
        <v>6</v>
      </c>
      <c r="U58">
        <v>433.18122851103595</v>
      </c>
      <c r="V58">
        <v>64.017482468325412</v>
      </c>
      <c r="W58">
        <v>1.6255999999999999</v>
      </c>
      <c r="X58">
        <v>107.47720440000001</v>
      </c>
      <c r="Y58">
        <f t="shared" si="0"/>
        <v>31.448850861363642</v>
      </c>
    </row>
    <row r="59" spans="1:25" x14ac:dyDescent="0.25">
      <c r="A59" t="s">
        <v>180</v>
      </c>
      <c r="B59" t="s">
        <v>78</v>
      </c>
      <c r="C59" t="s">
        <v>64</v>
      </c>
      <c r="D59">
        <v>517.54950966606498</v>
      </c>
      <c r="E59">
        <v>686.28607197612291</v>
      </c>
      <c r="F59">
        <v>601.91779082109394</v>
      </c>
      <c r="G59">
        <v>121.5214337775903</v>
      </c>
      <c r="H59">
        <v>2.1092070289999998</v>
      </c>
      <c r="I59">
        <v>11.649373560000001</v>
      </c>
      <c r="J59">
        <v>0.18105754900000001</v>
      </c>
      <c r="K59">
        <v>1.127369993373766</v>
      </c>
      <c r="L59">
        <v>6.2796389806033028</v>
      </c>
      <c r="M59">
        <v>10.849295339306741</v>
      </c>
      <c r="N59">
        <v>0.80007822069326551</v>
      </c>
      <c r="O59">
        <v>2.0244835112765132</v>
      </c>
      <c r="P59">
        <v>8.472351772348663E-2</v>
      </c>
      <c r="Q59">
        <v>-0.71535470296977888</v>
      </c>
      <c r="R59">
        <v>3.38144</v>
      </c>
      <c r="S59">
        <v>390</v>
      </c>
      <c r="T59">
        <v>4</v>
      </c>
      <c r="U59">
        <v>420.93421995627369</v>
      </c>
      <c r="V59">
        <v>65.250101951014145</v>
      </c>
      <c r="W59">
        <v>1.8288</v>
      </c>
      <c r="X59">
        <v>95.664324800000003</v>
      </c>
      <c r="Y59">
        <f t="shared" si="0"/>
        <v>31.322652977157524</v>
      </c>
    </row>
    <row r="60" spans="1:25" x14ac:dyDescent="0.25">
      <c r="A60" t="s">
        <v>180</v>
      </c>
      <c r="B60" t="s">
        <v>79</v>
      </c>
      <c r="C60" t="s">
        <v>69</v>
      </c>
      <c r="D60">
        <v>515.2815451188867</v>
      </c>
      <c r="E60">
        <v>702.38862026108814</v>
      </c>
      <c r="F60">
        <v>608.83508268998742</v>
      </c>
      <c r="G60">
        <v>122.56733753753019</v>
      </c>
      <c r="H60">
        <v>2.3388384389999999</v>
      </c>
      <c r="I60">
        <v>10.040884699999999</v>
      </c>
      <c r="J60">
        <v>0.23293151000000001</v>
      </c>
      <c r="K60">
        <v>1.2496239791876449</v>
      </c>
      <c r="L60">
        <v>8.9694964236611732</v>
      </c>
      <c r="M60">
        <v>11.06917984960141</v>
      </c>
      <c r="N60">
        <v>-1.0282951496014141</v>
      </c>
      <c r="O60">
        <v>1.880369139271816</v>
      </c>
      <c r="P60">
        <v>0.4584692997281834</v>
      </c>
      <c r="Q60">
        <v>1.4867644493295971</v>
      </c>
      <c r="R60">
        <v>2.5735199999999998</v>
      </c>
      <c r="S60">
        <v>400</v>
      </c>
      <c r="T60">
        <v>6</v>
      </c>
      <c r="U60">
        <v>421.84140577514495</v>
      </c>
      <c r="V60">
        <v>63.891617828404875</v>
      </c>
      <c r="W60">
        <v>1.1175999999999999</v>
      </c>
      <c r="X60">
        <v>102.0256024</v>
      </c>
      <c r="Y60">
        <f t="shared" si="0"/>
        <v>29.218331148230568</v>
      </c>
    </row>
    <row r="61" spans="1:25" x14ac:dyDescent="0.25">
      <c r="A61" t="s">
        <v>180</v>
      </c>
      <c r="B61" t="s">
        <v>80</v>
      </c>
      <c r="C61" t="s">
        <v>69</v>
      </c>
      <c r="D61">
        <v>526.39457140005993</v>
      </c>
      <c r="E61">
        <v>692.63637270822187</v>
      </c>
      <c r="F61">
        <v>609.5154720541409</v>
      </c>
      <c r="G61">
        <v>122.67005238347539</v>
      </c>
      <c r="H61">
        <v>2.0780225159999999</v>
      </c>
      <c r="I61">
        <v>10.72692998</v>
      </c>
      <c r="J61">
        <v>0.19372015300000001</v>
      </c>
      <c r="K61">
        <v>1.1738001034365351</v>
      </c>
      <c r="L61">
        <v>5.9110153516035631</v>
      </c>
      <c r="M61">
        <v>10.921261990052971</v>
      </c>
      <c r="N61">
        <v>-0.1943320100529711</v>
      </c>
      <c r="O61">
        <v>1.9460054405465419</v>
      </c>
      <c r="P61">
        <v>0.13201707545345751</v>
      </c>
      <c r="Q61">
        <v>0.3263490855064286</v>
      </c>
      <c r="R61">
        <v>2.37032</v>
      </c>
      <c r="S61">
        <v>480</v>
      </c>
      <c r="T61">
        <v>6</v>
      </c>
      <c r="U61">
        <v>414.58391922417474</v>
      </c>
      <c r="V61">
        <v>63.676517717318724</v>
      </c>
      <c r="W61">
        <v>1.2192000000000001</v>
      </c>
      <c r="X61">
        <v>104.8965644</v>
      </c>
      <c r="Y61">
        <f t="shared" si="0"/>
        <v>29.3589005333342</v>
      </c>
    </row>
    <row r="62" spans="1:25" x14ac:dyDescent="0.25">
      <c r="A62" t="s">
        <v>180</v>
      </c>
      <c r="B62" t="s">
        <v>81</v>
      </c>
      <c r="C62" t="s">
        <v>69</v>
      </c>
      <c r="D62">
        <v>468.78827190173371</v>
      </c>
      <c r="E62">
        <v>639.79279875896987</v>
      </c>
      <c r="F62">
        <v>554.29053533035176</v>
      </c>
      <c r="G62">
        <v>114.2360287864677</v>
      </c>
      <c r="H62">
        <v>2.1375565860000001</v>
      </c>
      <c r="I62">
        <v>10.87175199</v>
      </c>
      <c r="J62">
        <v>0.19661565</v>
      </c>
      <c r="K62">
        <v>1.2079264021028211</v>
      </c>
      <c r="L62">
        <v>9.4650337691160527</v>
      </c>
      <c r="M62">
        <v>10.29146490222187</v>
      </c>
      <c r="N62">
        <v>0.58028708777813165</v>
      </c>
      <c r="O62">
        <v>1.895623056817435</v>
      </c>
      <c r="P62">
        <v>0.2419335291825653</v>
      </c>
      <c r="Q62">
        <v>-0.33835355859556637</v>
      </c>
      <c r="R62">
        <v>1.73444</v>
      </c>
      <c r="S62">
        <v>440</v>
      </c>
      <c r="T62">
        <v>6</v>
      </c>
      <c r="U62">
        <v>387.82193756747199</v>
      </c>
      <c r="V62">
        <v>64.485960157871332</v>
      </c>
      <c r="W62">
        <v>0.50800000000000001</v>
      </c>
      <c r="X62">
        <v>99.083672800000002</v>
      </c>
      <c r="Y62">
        <f t="shared" si="0"/>
        <v>25.90155678477533</v>
      </c>
    </row>
    <row r="63" spans="1:25" x14ac:dyDescent="0.25">
      <c r="A63" t="s">
        <v>180</v>
      </c>
      <c r="B63" t="s">
        <v>82</v>
      </c>
      <c r="C63" t="s">
        <v>61</v>
      </c>
      <c r="D63">
        <v>507.34366920376311</v>
      </c>
      <c r="E63">
        <v>679.70897478930613</v>
      </c>
      <c r="F63">
        <v>593.52632199653453</v>
      </c>
      <c r="G63">
        <v>120.24858871303201</v>
      </c>
      <c r="H63">
        <v>2.1545663199999998</v>
      </c>
      <c r="I63">
        <v>11.13054676</v>
      </c>
      <c r="J63">
        <v>0.19357236999999999</v>
      </c>
      <c r="K63">
        <v>1.1273541520095851</v>
      </c>
      <c r="L63">
        <v>6.0794123342554389</v>
      </c>
      <c r="M63">
        <v>10.77600715512529</v>
      </c>
      <c r="N63">
        <v>0.35453960487470759</v>
      </c>
      <c r="O63">
        <v>1.9657658969562639</v>
      </c>
      <c r="P63">
        <v>0.1888004230437359</v>
      </c>
      <c r="Q63">
        <v>-0.16573918183097169</v>
      </c>
      <c r="R63">
        <v>3.5958399999999999</v>
      </c>
      <c r="S63">
        <v>380</v>
      </c>
      <c r="T63">
        <v>4</v>
      </c>
      <c r="U63">
        <v>406.41924685433321</v>
      </c>
      <c r="V63">
        <v>63.609708998779155</v>
      </c>
      <c r="W63">
        <v>1.7272000000000001</v>
      </c>
      <c r="X63">
        <v>88.890144800000002</v>
      </c>
      <c r="Y63">
        <f t="shared" si="0"/>
        <v>31.02223259552478</v>
      </c>
    </row>
    <row r="64" spans="1:25" x14ac:dyDescent="0.25">
      <c r="A64" t="s">
        <v>180</v>
      </c>
      <c r="B64" t="s">
        <v>83</v>
      </c>
      <c r="C64" t="s">
        <v>61</v>
      </c>
      <c r="D64">
        <v>521.63184585098566</v>
      </c>
      <c r="E64">
        <v>710.5532926309296</v>
      </c>
      <c r="F64">
        <v>616.09256924095757</v>
      </c>
      <c r="G64">
        <v>123.6614908673628</v>
      </c>
      <c r="H64">
        <v>2.3615180850000002</v>
      </c>
      <c r="I64">
        <v>10.99067421</v>
      </c>
      <c r="J64">
        <v>0.214865625</v>
      </c>
      <c r="K64">
        <v>1.186823316226969</v>
      </c>
      <c r="L64">
        <v>7.2889614112659018</v>
      </c>
      <c r="M64">
        <v>11.16907127102697</v>
      </c>
      <c r="N64">
        <v>-0.1783970610269652</v>
      </c>
      <c r="O64">
        <v>1.9784707232359151</v>
      </c>
      <c r="P64">
        <v>0.38304736176408533</v>
      </c>
      <c r="Q64">
        <v>0.56144442279105045</v>
      </c>
      <c r="R64">
        <v>3.3237999999999999</v>
      </c>
      <c r="S64">
        <v>420</v>
      </c>
      <c r="T64">
        <v>6</v>
      </c>
      <c r="U64">
        <v>425.01655614119443</v>
      </c>
      <c r="V64">
        <v>63.632844601448326</v>
      </c>
      <c r="W64">
        <v>1.7272000000000001</v>
      </c>
      <c r="X64">
        <v>97.515934000000001</v>
      </c>
      <c r="Y64">
        <f t="shared" si="0"/>
        <v>32.438464458586232</v>
      </c>
    </row>
    <row r="65" spans="1:25" x14ac:dyDescent="0.25">
      <c r="A65" t="s">
        <v>180</v>
      </c>
      <c r="B65" t="s">
        <v>84</v>
      </c>
      <c r="C65" t="s">
        <v>61</v>
      </c>
      <c r="D65">
        <v>506.8900762943274</v>
      </c>
      <c r="E65">
        <v>673.35867405720717</v>
      </c>
      <c r="F65">
        <v>590.12437517576723</v>
      </c>
      <c r="G65">
        <v>119.7312909742309</v>
      </c>
      <c r="H65">
        <v>2.0808574719999999</v>
      </c>
      <c r="I65">
        <v>10.19464814</v>
      </c>
      <c r="J65">
        <v>0.20411273099999999</v>
      </c>
      <c r="K65">
        <v>1.0885299544415219</v>
      </c>
      <c r="L65">
        <v>13.469519908616711</v>
      </c>
      <c r="M65">
        <v>10.69110135759815</v>
      </c>
      <c r="N65">
        <v>-0.49645321759815181</v>
      </c>
      <c r="O65">
        <v>1.8733598740942721</v>
      </c>
      <c r="P65">
        <v>0.20749759790572811</v>
      </c>
      <c r="Q65">
        <v>0.70395081550387983</v>
      </c>
      <c r="R65">
        <v>2.4967600000000001</v>
      </c>
      <c r="S65">
        <v>410</v>
      </c>
      <c r="T65">
        <v>6</v>
      </c>
      <c r="U65">
        <v>401.42972485054116</v>
      </c>
      <c r="V65">
        <v>63.421310989713362</v>
      </c>
      <c r="W65">
        <v>1.016</v>
      </c>
      <c r="X65">
        <v>94.0772312</v>
      </c>
      <c r="Y65">
        <f t="shared" si="0"/>
        <v>28.88252467309502</v>
      </c>
    </row>
    <row r="66" spans="1:25" x14ac:dyDescent="0.25">
      <c r="A66" t="s">
        <v>180</v>
      </c>
      <c r="B66" t="s">
        <v>85</v>
      </c>
      <c r="C66" t="s">
        <v>61</v>
      </c>
      <c r="D66">
        <v>537.05400477179751</v>
      </c>
      <c r="E66">
        <v>727.10943382533048</v>
      </c>
      <c r="F66">
        <v>632.08171929856394</v>
      </c>
      <c r="G66">
        <v>126.0607604304673</v>
      </c>
      <c r="H66">
        <v>2.3756928629999998</v>
      </c>
      <c r="I66">
        <v>11.85518326</v>
      </c>
      <c r="J66">
        <v>0.200392757</v>
      </c>
      <c r="K66">
        <v>1.093183897777452</v>
      </c>
      <c r="L66">
        <v>5.7839246426534547</v>
      </c>
      <c r="M66">
        <v>11.366843479725929</v>
      </c>
      <c r="N66">
        <v>0.48833978027407449</v>
      </c>
      <c r="O66">
        <v>2.0784252016576201</v>
      </c>
      <c r="P66">
        <v>0.2972676613423797</v>
      </c>
      <c r="Q66">
        <v>-0.19107211893169479</v>
      </c>
      <c r="R66">
        <v>2.3338000000000001</v>
      </c>
      <c r="S66">
        <v>430</v>
      </c>
      <c r="T66">
        <v>6</v>
      </c>
      <c r="U66">
        <v>440.43871506200617</v>
      </c>
      <c r="V66">
        <v>64.440344568948319</v>
      </c>
      <c r="W66">
        <v>1.2192000000000001</v>
      </c>
      <c r="X66">
        <v>109.99978</v>
      </c>
      <c r="Y66">
        <f t="shared" si="0"/>
        <v>29.517105130756015</v>
      </c>
    </row>
    <row r="67" spans="1:25" x14ac:dyDescent="0.25">
      <c r="A67" t="s">
        <v>180</v>
      </c>
      <c r="B67" t="s">
        <v>86</v>
      </c>
      <c r="C67" t="s">
        <v>64</v>
      </c>
      <c r="D67">
        <v>529.79651820000004</v>
      </c>
      <c r="E67">
        <v>672.45148823833597</v>
      </c>
      <c r="F67">
        <v>601.124003219168</v>
      </c>
      <c r="G67">
        <v>121.4012203708607</v>
      </c>
      <c r="H67">
        <v>1.783187125</v>
      </c>
      <c r="I67">
        <v>11.122487359999999</v>
      </c>
      <c r="J67">
        <v>0.16032269299999999</v>
      </c>
      <c r="K67">
        <v>1.11338873863096</v>
      </c>
      <c r="L67">
        <v>5.6076028379441514</v>
      </c>
      <c r="M67">
        <v>10.644783919677179</v>
      </c>
      <c r="N67">
        <v>0.47770344032282352</v>
      </c>
      <c r="O67">
        <v>1.9737605362223889</v>
      </c>
      <c r="P67">
        <v>-0.19057341122238869</v>
      </c>
      <c r="Q67">
        <v>-0.66827685154521221</v>
      </c>
      <c r="R67">
        <v>3.5204399999999998</v>
      </c>
      <c r="S67">
        <v>400</v>
      </c>
      <c r="T67">
        <v>6</v>
      </c>
      <c r="U67">
        <v>392.35786666182838</v>
      </c>
      <c r="V67">
        <v>62.071687420567123</v>
      </c>
      <c r="W67">
        <v>2.1335999999999999</v>
      </c>
      <c r="X67">
        <v>94.083682800000005</v>
      </c>
      <c r="Y67">
        <f t="shared" ref="Y67:Y129" si="1">17.76107+(4.68142*W67)+(0.01945*U67)+(0.81855*T67)-(0.06754*X67)</f>
        <v>33.937596282260564</v>
      </c>
    </row>
    <row r="68" spans="1:25" x14ac:dyDescent="0.25">
      <c r="A68" t="s">
        <v>180</v>
      </c>
      <c r="B68" t="s">
        <v>87</v>
      </c>
      <c r="C68" t="s">
        <v>69</v>
      </c>
      <c r="D68">
        <v>554.97092469450524</v>
      </c>
      <c r="E68">
        <v>712.59446072339006</v>
      </c>
      <c r="F68">
        <v>633.78269270894771</v>
      </c>
      <c r="G68">
        <v>126.3151032786572</v>
      </c>
      <c r="H68">
        <v>1.9702942000000001</v>
      </c>
      <c r="I68">
        <v>9.7646900090000006</v>
      </c>
      <c r="J68">
        <v>0.201777445</v>
      </c>
      <c r="K68">
        <v>1.3486765724301939</v>
      </c>
      <c r="L68">
        <v>12.10012146600379</v>
      </c>
      <c r="M68">
        <v>11.14439820047814</v>
      </c>
      <c r="N68">
        <v>-1.3797081914781391</v>
      </c>
      <c r="O68">
        <v>1.882730574298783</v>
      </c>
      <c r="P68">
        <v>8.7563625701217118E-2</v>
      </c>
      <c r="Q68">
        <v>1.467271817179356</v>
      </c>
      <c r="R68">
        <v>2.69984</v>
      </c>
      <c r="S68">
        <v>430</v>
      </c>
      <c r="T68">
        <v>6</v>
      </c>
      <c r="U68">
        <v>430.00607814498647</v>
      </c>
      <c r="V68">
        <v>64.195457564034086</v>
      </c>
      <c r="W68">
        <v>1.7272000000000001</v>
      </c>
      <c r="X68">
        <v>108.9223628</v>
      </c>
      <c r="Y68">
        <f t="shared" si="1"/>
        <v>31.765120460407982</v>
      </c>
    </row>
    <row r="69" spans="1:25" x14ac:dyDescent="0.25">
      <c r="A69" t="s">
        <v>180</v>
      </c>
      <c r="B69" t="s">
        <v>88</v>
      </c>
      <c r="C69" t="s">
        <v>61</v>
      </c>
      <c r="D69">
        <v>520.04427066796097</v>
      </c>
      <c r="E69">
        <v>674.49265633079631</v>
      </c>
      <c r="F69">
        <v>597.26846349937864</v>
      </c>
      <c r="G69">
        <v>120.8167608866724</v>
      </c>
      <c r="H69">
        <v>1.930604821</v>
      </c>
      <c r="I69">
        <v>11.3302361</v>
      </c>
      <c r="J69">
        <v>0.17039404999999999</v>
      </c>
      <c r="K69">
        <v>1.162332761714908</v>
      </c>
      <c r="L69">
        <v>7.434109307362335</v>
      </c>
      <c r="M69">
        <v>10.68685855446603</v>
      </c>
      <c r="N69">
        <v>0.64337754553396742</v>
      </c>
      <c r="O69">
        <v>1.9889601324056509</v>
      </c>
      <c r="P69">
        <v>-5.8355311405650527E-2</v>
      </c>
      <c r="Q69">
        <v>-0.70173285693961795</v>
      </c>
      <c r="R69">
        <v>3.6499199999999998</v>
      </c>
      <c r="S69">
        <v>550</v>
      </c>
      <c r="T69">
        <v>7</v>
      </c>
      <c r="U69">
        <v>404.60487521659064</v>
      </c>
      <c r="V69">
        <v>63.815478833630991</v>
      </c>
      <c r="W69">
        <v>1.7272000000000001</v>
      </c>
      <c r="X69">
        <v>85.477248399999993</v>
      </c>
      <c r="Y69">
        <f t="shared" si="1"/>
        <v>33.673100090026686</v>
      </c>
    </row>
    <row r="70" spans="1:25" x14ac:dyDescent="0.25">
      <c r="A70" t="s">
        <v>180</v>
      </c>
      <c r="B70" t="s">
        <v>89</v>
      </c>
      <c r="C70" t="s">
        <v>64</v>
      </c>
      <c r="D70">
        <v>519.13708484908966</v>
      </c>
      <c r="E70">
        <v>664.96720523264787</v>
      </c>
      <c r="F70">
        <v>592.05214504086871</v>
      </c>
      <c r="G70">
        <v>120.02451761643511</v>
      </c>
      <c r="H70">
        <v>1.822876505</v>
      </c>
      <c r="I70">
        <v>9.6056963989999993</v>
      </c>
      <c r="J70">
        <v>0.189770364</v>
      </c>
      <c r="K70">
        <v>1.555062742040304</v>
      </c>
      <c r="L70">
        <v>18.108179059646218</v>
      </c>
      <c r="M70">
        <v>10.55991000441629</v>
      </c>
      <c r="N70">
        <v>-0.95421360541629241</v>
      </c>
      <c r="O70">
        <v>1.8199103751079211</v>
      </c>
      <c r="P70">
        <v>2.9661298920786732E-3</v>
      </c>
      <c r="Q70">
        <v>0.95717973530837108</v>
      </c>
      <c r="R70">
        <v>2.46008</v>
      </c>
      <c r="S70">
        <v>410</v>
      </c>
      <c r="T70">
        <v>6</v>
      </c>
      <c r="U70">
        <v>383.7396013825512</v>
      </c>
      <c r="V70">
        <v>61.391541612836789</v>
      </c>
      <c r="W70">
        <v>1.1175999999999999</v>
      </c>
      <c r="X70">
        <v>93.844973600000003</v>
      </c>
      <c r="Y70">
        <f t="shared" si="1"/>
        <v>29.029770721946619</v>
      </c>
    </row>
    <row r="71" spans="1:25" x14ac:dyDescent="0.25">
      <c r="A71" t="s">
        <v>180</v>
      </c>
      <c r="B71" t="s">
        <v>90</v>
      </c>
      <c r="C71" t="s">
        <v>69</v>
      </c>
      <c r="D71">
        <v>509.38483729622351</v>
      </c>
      <c r="E71">
        <v>672.67828469305368</v>
      </c>
      <c r="F71">
        <v>591.03156099463854</v>
      </c>
      <c r="G71">
        <v>119.8693097653322</v>
      </c>
      <c r="H71">
        <v>2.0411680919999999</v>
      </c>
      <c r="I71">
        <v>11.18132411</v>
      </c>
      <c r="J71">
        <v>0.182551554</v>
      </c>
      <c r="K71">
        <v>1.1068503624733561</v>
      </c>
      <c r="L71">
        <v>8.5659907516725156</v>
      </c>
      <c r="M71">
        <v>10.678248062888599</v>
      </c>
      <c r="N71">
        <v>0.5030760471113993</v>
      </c>
      <c r="O71">
        <v>1.9676848023501889</v>
      </c>
      <c r="P71">
        <v>7.3483289649811212E-2</v>
      </c>
      <c r="Q71">
        <v>-0.42959275746158809</v>
      </c>
      <c r="R71">
        <v>2.6276000000000002</v>
      </c>
      <c r="S71">
        <v>400</v>
      </c>
      <c r="T71">
        <v>6</v>
      </c>
      <c r="U71">
        <v>405.51206103546195</v>
      </c>
      <c r="V71">
        <v>64.131074158962448</v>
      </c>
      <c r="W71">
        <v>1.4224000000000001</v>
      </c>
      <c r="X71">
        <v>100.193348</v>
      </c>
      <c r="Y71">
        <f t="shared" si="1"/>
        <v>30.45137267121973</v>
      </c>
    </row>
    <row r="72" spans="1:25" x14ac:dyDescent="0.25">
      <c r="A72" t="s">
        <v>180</v>
      </c>
      <c r="B72" t="s">
        <v>91</v>
      </c>
      <c r="C72" t="s">
        <v>64</v>
      </c>
      <c r="D72">
        <v>525.94097849062427</v>
      </c>
      <c r="E72">
        <v>693.77035498181101</v>
      </c>
      <c r="F72">
        <v>609.8556667362177</v>
      </c>
      <c r="G72">
        <v>122.7213990562187</v>
      </c>
      <c r="H72">
        <v>2.0978672060000001</v>
      </c>
      <c r="I72">
        <v>9.8358510789999993</v>
      </c>
      <c r="J72">
        <v>0.21328781699999999</v>
      </c>
      <c r="K72">
        <v>1.1840934163004011</v>
      </c>
      <c r="L72">
        <v>8.6385172065412164</v>
      </c>
      <c r="M72">
        <v>10.93718424977186</v>
      </c>
      <c r="N72">
        <v>-1.101333170771863</v>
      </c>
      <c r="O72">
        <v>1.8621564862344371</v>
      </c>
      <c r="P72">
        <v>0.23571071976556321</v>
      </c>
      <c r="Q72">
        <v>1.337043890537426</v>
      </c>
      <c r="R72">
        <v>2.7213599999999998</v>
      </c>
      <c r="S72">
        <v>520</v>
      </c>
      <c r="T72">
        <v>7</v>
      </c>
      <c r="U72">
        <v>430.91326396385773</v>
      </c>
      <c r="V72">
        <v>66.076384298518718</v>
      </c>
      <c r="W72">
        <v>1.7272000000000001</v>
      </c>
      <c r="X72">
        <v>110.6578432</v>
      </c>
      <c r="Y72">
        <f t="shared" si="1"/>
        <v>32.484100878369034</v>
      </c>
    </row>
    <row r="73" spans="1:25" x14ac:dyDescent="0.25">
      <c r="A73" t="s">
        <v>180</v>
      </c>
      <c r="B73" t="s">
        <v>92</v>
      </c>
      <c r="C73" t="s">
        <v>69</v>
      </c>
      <c r="D73">
        <v>550.88858850958445</v>
      </c>
      <c r="E73">
        <v>698.30628407616734</v>
      </c>
      <c r="F73">
        <v>624.59743629287595</v>
      </c>
      <c r="G73">
        <v>124.93961058089999</v>
      </c>
      <c r="H73">
        <v>1.842721195</v>
      </c>
      <c r="I73">
        <v>10.47161603</v>
      </c>
      <c r="J73">
        <v>0.17597295299999999</v>
      </c>
      <c r="K73">
        <v>1.1243825145093851</v>
      </c>
      <c r="L73">
        <v>7.6661484659045316</v>
      </c>
      <c r="M73">
        <v>10.959562391566861</v>
      </c>
      <c r="N73">
        <v>-0.48794636156685728</v>
      </c>
      <c r="O73">
        <v>1.939110914595177</v>
      </c>
      <c r="P73">
        <v>-9.6389719595177281E-2</v>
      </c>
      <c r="Q73">
        <v>0.39155664197168011</v>
      </c>
      <c r="R73">
        <v>3.13164</v>
      </c>
      <c r="S73">
        <v>390</v>
      </c>
      <c r="T73">
        <v>4</v>
      </c>
      <c r="U73">
        <v>423.20218450345186</v>
      </c>
      <c r="V73">
        <v>64.472438548586339</v>
      </c>
      <c r="W73">
        <v>1.7272000000000001</v>
      </c>
      <c r="X73">
        <v>101.0836688</v>
      </c>
      <c r="Y73">
        <f t="shared" si="1"/>
        <v>30.525110121840136</v>
      </c>
    </row>
    <row r="74" spans="1:25" x14ac:dyDescent="0.25">
      <c r="A74" t="s">
        <v>180</v>
      </c>
      <c r="B74" t="s">
        <v>93</v>
      </c>
      <c r="C74" t="s">
        <v>69</v>
      </c>
      <c r="D74">
        <v>513.46717348114419</v>
      </c>
      <c r="E74">
        <v>693.31676207237535</v>
      </c>
      <c r="F74">
        <v>603.39196777675977</v>
      </c>
      <c r="G74">
        <v>121.7445821615237</v>
      </c>
      <c r="H74">
        <v>2.2481198569999998</v>
      </c>
      <c r="I74">
        <v>11.053932379999999</v>
      </c>
      <c r="J74">
        <v>0.20337738499999999</v>
      </c>
      <c r="K74">
        <v>1.0358279263337411</v>
      </c>
      <c r="L74">
        <v>7.5652047508072577</v>
      </c>
      <c r="M74">
        <v>10.949999341392109</v>
      </c>
      <c r="N74">
        <v>0.1039330386078845</v>
      </c>
      <c r="O74">
        <v>1.9698881421567751</v>
      </c>
      <c r="P74">
        <v>0.27823171484322451</v>
      </c>
      <c r="Q74">
        <v>0.17429867623534001</v>
      </c>
      <c r="R74">
        <v>2.5256400000000001</v>
      </c>
      <c r="S74">
        <v>380</v>
      </c>
      <c r="T74">
        <v>4</v>
      </c>
      <c r="U74">
        <v>405.96565394489755</v>
      </c>
      <c r="V74">
        <v>62.291636214362534</v>
      </c>
      <c r="W74">
        <v>1.2192000000000001</v>
      </c>
      <c r="X74">
        <v>100.3094768</v>
      </c>
      <c r="Y74">
        <f t="shared" si="1"/>
        <v>27.863987170156257</v>
      </c>
    </row>
    <row r="75" spans="1:25" x14ac:dyDescent="0.25">
      <c r="A75" t="s">
        <v>180</v>
      </c>
      <c r="B75" t="s">
        <v>94</v>
      </c>
      <c r="C75" t="s">
        <v>64</v>
      </c>
      <c r="D75">
        <v>483.53004145839202</v>
      </c>
      <c r="E75">
        <v>628.67977247779663</v>
      </c>
      <c r="F75">
        <v>556.10490696809427</v>
      </c>
      <c r="G75">
        <v>114.51636270872601</v>
      </c>
      <c r="H75">
        <v>1.8143716379999999</v>
      </c>
      <c r="I75">
        <v>9.3959069819999996</v>
      </c>
      <c r="J75">
        <v>0.19310234100000001</v>
      </c>
      <c r="K75">
        <v>1.1999836087250471</v>
      </c>
      <c r="L75">
        <v>10.518386216310439</v>
      </c>
      <c r="M75">
        <v>10.120250952349069</v>
      </c>
      <c r="N75">
        <v>-0.7243439703490715</v>
      </c>
      <c r="O75">
        <v>1.7582322699485431</v>
      </c>
      <c r="P75">
        <v>5.6139368051456813E-2</v>
      </c>
      <c r="Q75">
        <v>0.7804833384005283</v>
      </c>
      <c r="R75">
        <v>2.07552</v>
      </c>
      <c r="S75">
        <v>400</v>
      </c>
      <c r="T75">
        <v>6</v>
      </c>
      <c r="U75">
        <v>386.46115883916508</v>
      </c>
      <c r="V75">
        <v>65.395597308181337</v>
      </c>
      <c r="W75">
        <v>0.81279999999999997</v>
      </c>
      <c r="X75">
        <v>98.025610400000005</v>
      </c>
      <c r="Y75">
        <f t="shared" si="1"/>
        <v>27.373447989005758</v>
      </c>
    </row>
    <row r="76" spans="1:25" x14ac:dyDescent="0.25">
      <c r="A76" t="s">
        <v>180</v>
      </c>
      <c r="B76" t="s">
        <v>95</v>
      </c>
      <c r="C76" t="s">
        <v>69</v>
      </c>
      <c r="D76">
        <v>530.02331467554507</v>
      </c>
      <c r="E76">
        <v>649.99863922127179</v>
      </c>
      <c r="F76">
        <v>590.01097694840837</v>
      </c>
      <c r="G76">
        <v>119.71403489710551</v>
      </c>
      <c r="H76">
        <v>1.499691557</v>
      </c>
      <c r="I76">
        <v>12.008708410000001</v>
      </c>
      <c r="J76">
        <v>0.124883668</v>
      </c>
      <c r="K76">
        <v>1.3421417955534569</v>
      </c>
      <c r="L76">
        <v>13.579494930496679</v>
      </c>
      <c r="M76">
        <v>10.34208298478878</v>
      </c>
      <c r="N76">
        <v>1.666625425211222</v>
      </c>
      <c r="O76">
        <v>2.0447227813610702</v>
      </c>
      <c r="P76">
        <v>-0.54503122436107021</v>
      </c>
      <c r="Q76">
        <v>-2.211656649572292</v>
      </c>
      <c r="R76">
        <v>1.921</v>
      </c>
      <c r="S76">
        <v>430</v>
      </c>
      <c r="T76">
        <v>6</v>
      </c>
      <c r="U76">
        <v>384.19319429198686</v>
      </c>
      <c r="V76">
        <v>62.879541508494221</v>
      </c>
      <c r="W76">
        <v>0.40639999999999998</v>
      </c>
      <c r="X76">
        <v>90.677238000000003</v>
      </c>
      <c r="Y76">
        <f t="shared" si="1"/>
        <v>25.92311606245914</v>
      </c>
    </row>
    <row r="77" spans="1:25" x14ac:dyDescent="0.25">
      <c r="A77" t="s">
        <v>180</v>
      </c>
      <c r="B77" t="s">
        <v>96</v>
      </c>
      <c r="C77" t="s">
        <v>69</v>
      </c>
      <c r="D77">
        <v>509.15804084150562</v>
      </c>
      <c r="E77">
        <v>691.95598334406839</v>
      </c>
      <c r="F77">
        <v>600.55701209278698</v>
      </c>
      <c r="G77">
        <v>121.3153293569586</v>
      </c>
      <c r="H77">
        <v>2.2849742810000002</v>
      </c>
      <c r="I77">
        <v>11.16015436</v>
      </c>
      <c r="J77">
        <v>0.204743968</v>
      </c>
      <c r="K77">
        <v>1.1224920251613519</v>
      </c>
      <c r="L77">
        <v>7.5714537934611306</v>
      </c>
      <c r="M77">
        <v>10.93817954968649</v>
      </c>
      <c r="N77">
        <v>0.22197481031350641</v>
      </c>
      <c r="O77">
        <v>1.976668909701774</v>
      </c>
      <c r="P77">
        <v>0.30830537129822583</v>
      </c>
      <c r="Q77">
        <v>8.6330560984719362E-2</v>
      </c>
      <c r="R77">
        <v>2.21292</v>
      </c>
      <c r="S77">
        <v>410</v>
      </c>
      <c r="T77">
        <v>6</v>
      </c>
      <c r="U77">
        <v>423.20218450345186</v>
      </c>
      <c r="V77">
        <v>65.064122684534524</v>
      </c>
      <c r="W77">
        <v>1.2192000000000001</v>
      </c>
      <c r="X77">
        <v>107.5094624</v>
      </c>
      <c r="Y77">
        <f t="shared" si="1"/>
        <v>29.350050662096134</v>
      </c>
    </row>
    <row r="78" spans="1:25" x14ac:dyDescent="0.25">
      <c r="A78" t="s">
        <v>180</v>
      </c>
      <c r="B78" t="s">
        <v>97</v>
      </c>
      <c r="C78" t="s">
        <v>64</v>
      </c>
      <c r="D78">
        <v>480.80848400177808</v>
      </c>
      <c r="E78">
        <v>648.86465694768265</v>
      </c>
      <c r="F78">
        <v>564.83657047473037</v>
      </c>
      <c r="G78">
        <v>115.86228935385699</v>
      </c>
      <c r="H78">
        <v>2.1007021620000002</v>
      </c>
      <c r="I78">
        <v>10.89218374</v>
      </c>
      <c r="J78">
        <v>0.192863269</v>
      </c>
      <c r="K78">
        <v>1.168617210395372</v>
      </c>
      <c r="L78">
        <v>8.6793539819910723</v>
      </c>
      <c r="M78">
        <v>10.39772381838327</v>
      </c>
      <c r="N78">
        <v>0.49445992161673052</v>
      </c>
      <c r="O78">
        <v>1.9099092942658911</v>
      </c>
      <c r="P78">
        <v>0.19079286773410911</v>
      </c>
      <c r="Q78">
        <v>-0.30366705388262138</v>
      </c>
      <c r="R78">
        <v>3.2701600000000002</v>
      </c>
      <c r="S78">
        <v>420</v>
      </c>
      <c r="T78">
        <v>6</v>
      </c>
      <c r="U78">
        <v>383.7396013825512</v>
      </c>
      <c r="V78">
        <v>62.91506466732875</v>
      </c>
      <c r="W78">
        <v>1.6255999999999999</v>
      </c>
      <c r="X78">
        <v>87.593373200000002</v>
      </c>
      <c r="Y78">
        <f t="shared" si="1"/>
        <v>31.830165172962612</v>
      </c>
    </row>
    <row r="79" spans="1:25" x14ac:dyDescent="0.25">
      <c r="A79" t="s">
        <v>180</v>
      </c>
      <c r="B79" t="s">
        <v>98</v>
      </c>
      <c r="C79" t="s">
        <v>69</v>
      </c>
      <c r="D79">
        <v>554.51733178506959</v>
      </c>
      <c r="E79">
        <v>723.25389409512752</v>
      </c>
      <c r="F79">
        <v>638.88561294009855</v>
      </c>
      <c r="G79">
        <v>127.0771105197318</v>
      </c>
      <c r="H79">
        <v>2.1092070289999998</v>
      </c>
      <c r="I79">
        <v>11.39130233</v>
      </c>
      <c r="J79">
        <v>0.18515942799999999</v>
      </c>
      <c r="K79">
        <v>1.1354091711059271</v>
      </c>
      <c r="L79">
        <v>8.0721167610165558</v>
      </c>
      <c r="M79">
        <v>11.287616011554739</v>
      </c>
      <c r="N79">
        <v>0.1036863184452628</v>
      </c>
      <c r="O79">
        <v>2.0422929656872828</v>
      </c>
      <c r="P79">
        <v>6.6914063312716987E-2</v>
      </c>
      <c r="Q79">
        <v>-3.6772255132545777E-2</v>
      </c>
      <c r="R79">
        <v>3.2147199999999998</v>
      </c>
      <c r="S79">
        <v>510</v>
      </c>
      <c r="T79">
        <v>7</v>
      </c>
      <c r="U79">
        <v>442.70667960918439</v>
      </c>
      <c r="V79">
        <v>65.117458283689615</v>
      </c>
      <c r="W79">
        <v>1.6255999999999999</v>
      </c>
      <c r="X79">
        <v>102.7030204</v>
      </c>
      <c r="Y79">
        <f t="shared" si="1"/>
        <v>32.775119272582636</v>
      </c>
    </row>
    <row r="80" spans="1:25" x14ac:dyDescent="0.25">
      <c r="A80" t="s">
        <v>180</v>
      </c>
      <c r="B80" t="s">
        <v>99</v>
      </c>
      <c r="C80" t="s">
        <v>69</v>
      </c>
      <c r="D80">
        <v>519.13708484908966</v>
      </c>
      <c r="E80">
        <v>671.77109887418248</v>
      </c>
      <c r="F80">
        <v>595.45409186163602</v>
      </c>
      <c r="G80">
        <v>120.5413949570728</v>
      </c>
      <c r="H80">
        <v>1.9079251749999999</v>
      </c>
      <c r="I80">
        <v>10.39027525</v>
      </c>
      <c r="J80">
        <v>0.18362604699999999</v>
      </c>
      <c r="K80">
        <v>1.0739663860252779</v>
      </c>
      <c r="L80">
        <v>6.5187876264796039</v>
      </c>
      <c r="M80">
        <v>10.651566183769271</v>
      </c>
      <c r="N80">
        <v>-0.26129093376926532</v>
      </c>
      <c r="O80">
        <v>1.8980080385228819</v>
      </c>
      <c r="P80">
        <v>9.9171364771180048E-3</v>
      </c>
      <c r="Q80">
        <v>0.27120807024638333</v>
      </c>
      <c r="R80">
        <v>3.1010399999999998</v>
      </c>
      <c r="S80">
        <v>440</v>
      </c>
      <c r="T80">
        <v>6</v>
      </c>
      <c r="U80">
        <v>409.14080431094703</v>
      </c>
      <c r="V80">
        <v>64.792334101838492</v>
      </c>
      <c r="W80">
        <v>1.4224000000000001</v>
      </c>
      <c r="X80">
        <v>93.277232799999993</v>
      </c>
      <c r="Y80">
        <f t="shared" si="1"/>
        <v>30.989066148535915</v>
      </c>
    </row>
    <row r="81" spans="1:25" x14ac:dyDescent="0.25">
      <c r="A81" t="s">
        <v>180</v>
      </c>
      <c r="B81" t="s">
        <v>100</v>
      </c>
      <c r="C81" t="s">
        <v>64</v>
      </c>
      <c r="D81">
        <v>535.46642958877271</v>
      </c>
      <c r="E81">
        <v>683.33771806479126</v>
      </c>
      <c r="F81">
        <v>609.40207382678204</v>
      </c>
      <c r="G81">
        <v>122.6529352338852</v>
      </c>
      <c r="H81">
        <v>1.848391106</v>
      </c>
      <c r="I81">
        <v>10.34368937</v>
      </c>
      <c r="J81">
        <v>0.178697469</v>
      </c>
      <c r="K81">
        <v>1.2009909142505311</v>
      </c>
      <c r="L81">
        <v>8.0510164124108012</v>
      </c>
      <c r="M81">
        <v>10.78254462816844</v>
      </c>
      <c r="N81">
        <v>-0.43885525816844151</v>
      </c>
      <c r="O81">
        <v>1.909645367254146</v>
      </c>
      <c r="P81">
        <v>-6.125426125414557E-2</v>
      </c>
      <c r="Q81">
        <v>0.37760099691429588</v>
      </c>
      <c r="R81">
        <v>2.4061599999999999</v>
      </c>
      <c r="S81">
        <v>490</v>
      </c>
      <c r="T81">
        <v>6</v>
      </c>
      <c r="U81">
        <v>410.9551759486896</v>
      </c>
      <c r="V81">
        <v>63.978080795511559</v>
      </c>
      <c r="W81">
        <v>1.3208</v>
      </c>
      <c r="X81">
        <v>103.5610832</v>
      </c>
      <c r="Y81">
        <f t="shared" si="1"/>
        <v>29.854152148874007</v>
      </c>
    </row>
    <row r="82" spans="1:25" x14ac:dyDescent="0.25">
      <c r="A82" t="s">
        <v>180</v>
      </c>
      <c r="B82" t="s">
        <v>101</v>
      </c>
      <c r="C82" t="s">
        <v>64</v>
      </c>
      <c r="D82">
        <v>578.10416307572291</v>
      </c>
      <c r="E82">
        <v>737.31527428763241</v>
      </c>
      <c r="F82">
        <v>657.70971868167771</v>
      </c>
      <c r="G82">
        <v>129.87504004134681</v>
      </c>
      <c r="H82">
        <v>1.9901388900000001</v>
      </c>
      <c r="I82">
        <v>11.29478694</v>
      </c>
      <c r="J82">
        <v>0.176199773</v>
      </c>
      <c r="K82">
        <v>1.1741985679427751</v>
      </c>
      <c r="L82">
        <v>8.0040449049696409</v>
      </c>
      <c r="M82">
        <v>11.437134183933431</v>
      </c>
      <c r="N82">
        <v>-0.14234724393343429</v>
      </c>
      <c r="O82">
        <v>2.0544246573539509</v>
      </c>
      <c r="P82">
        <v>-6.4285767353951195E-2</v>
      </c>
      <c r="Q82">
        <v>7.8061476579483147E-2</v>
      </c>
      <c r="R82">
        <v>2.8702399999999999</v>
      </c>
      <c r="S82">
        <v>420</v>
      </c>
      <c r="T82">
        <v>6</v>
      </c>
      <c r="U82">
        <v>449.9641661601546</v>
      </c>
      <c r="V82">
        <v>64.922740628635395</v>
      </c>
      <c r="W82">
        <v>1.3208</v>
      </c>
      <c r="X82">
        <v>104.8255968</v>
      </c>
      <c r="Y82">
        <f t="shared" si="1"/>
        <v>30.527471759943005</v>
      </c>
    </row>
    <row r="83" spans="1:25" x14ac:dyDescent="0.25">
      <c r="A83" t="s">
        <v>180</v>
      </c>
      <c r="B83" t="s">
        <v>102</v>
      </c>
      <c r="C83" t="s">
        <v>69</v>
      </c>
      <c r="D83">
        <v>472.41701517721879</v>
      </c>
      <c r="E83">
        <v>584.90805671725741</v>
      </c>
      <c r="F83">
        <v>528.6625359472381</v>
      </c>
      <c r="G83">
        <v>110.251346237353</v>
      </c>
      <c r="H83">
        <v>1.4061380189999999</v>
      </c>
      <c r="I83">
        <v>8.5522327859999994</v>
      </c>
      <c r="J83">
        <v>0.16441765</v>
      </c>
      <c r="K83">
        <v>1.3508552507454099</v>
      </c>
      <c r="L83">
        <v>12.22529731829014</v>
      </c>
      <c r="M83">
        <v>9.5395504125361192</v>
      </c>
      <c r="N83">
        <v>-0.98731762653611987</v>
      </c>
      <c r="O83">
        <v>1.646073356022467</v>
      </c>
      <c r="P83">
        <v>-0.23993533702246711</v>
      </c>
      <c r="Q83">
        <v>0.74738228951365282</v>
      </c>
      <c r="R83">
        <v>1.71976</v>
      </c>
      <c r="S83">
        <v>480</v>
      </c>
      <c r="T83">
        <v>6</v>
      </c>
      <c r="U83">
        <v>354.70965517867029</v>
      </c>
      <c r="V83">
        <v>64.514532271544525</v>
      </c>
      <c r="W83">
        <v>1.016</v>
      </c>
      <c r="X83">
        <v>105.8836592</v>
      </c>
      <c r="Y83">
        <f t="shared" si="1"/>
        <v>27.176413170857131</v>
      </c>
    </row>
    <row r="84" spans="1:25" x14ac:dyDescent="0.25">
      <c r="A84" t="s">
        <v>180</v>
      </c>
      <c r="B84" t="s">
        <v>103</v>
      </c>
      <c r="C84" t="s">
        <v>61</v>
      </c>
      <c r="D84">
        <v>515.96193448304018</v>
      </c>
      <c r="E84">
        <v>648.41106403824699</v>
      </c>
      <c r="F84">
        <v>582.18649926064359</v>
      </c>
      <c r="G84">
        <v>118.52135216603359</v>
      </c>
      <c r="H84">
        <v>1.655614119</v>
      </c>
      <c r="I84">
        <v>10.204936979999999</v>
      </c>
      <c r="J84">
        <v>0.16223658399999999</v>
      </c>
      <c r="K84">
        <v>1.0782789736544891</v>
      </c>
      <c r="L84">
        <v>8.423636466021696</v>
      </c>
      <c r="M84">
        <v>10.3412589001619</v>
      </c>
      <c r="N84">
        <v>-0.13632192016190459</v>
      </c>
      <c r="O84">
        <v>1.865140634746637</v>
      </c>
      <c r="P84">
        <v>-0.2095265157466373</v>
      </c>
      <c r="Q84">
        <v>-7.320459558473269E-2</v>
      </c>
      <c r="R84">
        <v>1.9216</v>
      </c>
      <c r="S84">
        <v>640</v>
      </c>
      <c r="T84">
        <v>7</v>
      </c>
      <c r="U84">
        <v>397.34738866562043</v>
      </c>
      <c r="V84">
        <v>65.191667972857019</v>
      </c>
      <c r="W84">
        <v>1.2192000000000001</v>
      </c>
      <c r="X84">
        <v>111.03203600000001</v>
      </c>
      <c r="Y84">
        <f t="shared" si="1"/>
        <v>29.42781026210632</v>
      </c>
    </row>
    <row r="85" spans="1:25" x14ac:dyDescent="0.25">
      <c r="A85" t="s">
        <v>180</v>
      </c>
      <c r="B85" t="s">
        <v>104</v>
      </c>
      <c r="C85" t="s">
        <v>61</v>
      </c>
      <c r="D85">
        <v>562.45520770019323</v>
      </c>
      <c r="E85">
        <v>718.49116854605336</v>
      </c>
      <c r="F85">
        <v>640.47318812312324</v>
      </c>
      <c r="G85">
        <v>127.3138687081495</v>
      </c>
      <c r="H85">
        <v>1.950449511</v>
      </c>
      <c r="I85">
        <v>11.315025350000001</v>
      </c>
      <c r="J85">
        <v>0.172376946</v>
      </c>
      <c r="K85">
        <v>1.16784423349095</v>
      </c>
      <c r="L85">
        <v>8.4670466920424428</v>
      </c>
      <c r="M85">
        <v>11.21132558577543</v>
      </c>
      <c r="N85">
        <v>0.10369976422457231</v>
      </c>
      <c r="O85">
        <v>2.036880697063411</v>
      </c>
      <c r="P85">
        <v>-8.6431186063411491E-2</v>
      </c>
      <c r="Q85">
        <v>-0.1901309502879838</v>
      </c>
      <c r="R85">
        <v>2.81012</v>
      </c>
      <c r="S85">
        <v>390</v>
      </c>
      <c r="T85">
        <v>4</v>
      </c>
      <c r="U85">
        <v>454.95368816394665</v>
      </c>
      <c r="V85">
        <v>67.362454334857205</v>
      </c>
      <c r="W85">
        <v>1.4224000000000001</v>
      </c>
      <c r="X85">
        <v>108.89655639999999</v>
      </c>
      <c r="Y85">
        <f t="shared" si="1"/>
        <v>29.188097623532762</v>
      </c>
    </row>
    <row r="86" spans="1:25" x14ac:dyDescent="0.25">
      <c r="A86" t="s">
        <v>180</v>
      </c>
      <c r="B86" t="s">
        <v>105</v>
      </c>
      <c r="C86" t="s">
        <v>61</v>
      </c>
      <c r="D86">
        <v>497.13782874146108</v>
      </c>
      <c r="E86">
        <v>618.47393201549482</v>
      </c>
      <c r="F86">
        <v>557.80588037847792</v>
      </c>
      <c r="G86">
        <v>114.7789681601641</v>
      </c>
      <c r="H86">
        <v>1.516701291</v>
      </c>
      <c r="I86">
        <v>11.87696925</v>
      </c>
      <c r="J86">
        <v>0.12770103699999999</v>
      </c>
      <c r="K86">
        <v>1.2136383746823449</v>
      </c>
      <c r="L86">
        <v>11.7268256353832</v>
      </c>
      <c r="M86">
        <v>9.9629012844482503</v>
      </c>
      <c r="N86">
        <v>1.9140679655517501</v>
      </c>
      <c r="O86">
        <v>1.994776986130766</v>
      </c>
      <c r="P86">
        <v>-0.47807569513076631</v>
      </c>
      <c r="Q86">
        <v>-2.3921436606825162</v>
      </c>
      <c r="R86">
        <v>1.0027200000000001</v>
      </c>
      <c r="S86">
        <v>390</v>
      </c>
      <c r="T86">
        <v>4</v>
      </c>
      <c r="U86">
        <v>371.9461857372246</v>
      </c>
      <c r="V86">
        <v>63.978029010177487</v>
      </c>
      <c r="W86">
        <v>0.91439999999999999</v>
      </c>
      <c r="X86">
        <v>119.2191164</v>
      </c>
      <c r="Y86">
        <f t="shared" si="1"/>
        <v>24.498254638933012</v>
      </c>
    </row>
    <row r="87" spans="1:25" x14ac:dyDescent="0.25">
      <c r="A87" t="s">
        <v>180</v>
      </c>
      <c r="B87" t="s">
        <v>106</v>
      </c>
      <c r="C87" t="s">
        <v>64</v>
      </c>
      <c r="D87">
        <v>510.97241247924819</v>
      </c>
      <c r="E87">
        <v>659.2972938647024</v>
      </c>
      <c r="F87">
        <v>585.13485317197524</v>
      </c>
      <c r="G87">
        <v>118.97123654414671</v>
      </c>
      <c r="H87">
        <v>1.854061017</v>
      </c>
      <c r="I87">
        <v>11.181472810000001</v>
      </c>
      <c r="J87">
        <v>0.165815456</v>
      </c>
      <c r="K87">
        <v>1.225458801431796</v>
      </c>
      <c r="L87">
        <v>7.8700488853019976</v>
      </c>
      <c r="M87">
        <v>10.4954651031225</v>
      </c>
      <c r="N87">
        <v>0.68600770687750234</v>
      </c>
      <c r="O87">
        <v>1.9608761975920419</v>
      </c>
      <c r="P87">
        <v>-0.10681518059204211</v>
      </c>
      <c r="Q87">
        <v>-0.79282288746954444</v>
      </c>
      <c r="R87">
        <v>3.1458400000000002</v>
      </c>
      <c r="S87">
        <v>430</v>
      </c>
      <c r="T87">
        <v>6</v>
      </c>
      <c r="U87">
        <v>396.44020284674912</v>
      </c>
      <c r="V87">
        <v>63.968849947903273</v>
      </c>
      <c r="W87">
        <v>2.032</v>
      </c>
      <c r="X87">
        <v>100.3094768</v>
      </c>
      <c r="Y87">
        <f t="shared" si="1"/>
        <v>33.120875322297266</v>
      </c>
    </row>
    <row r="88" spans="1:25" x14ac:dyDescent="0.25">
      <c r="A88" t="s">
        <v>180</v>
      </c>
      <c r="B88" t="s">
        <v>107</v>
      </c>
      <c r="C88" t="s">
        <v>69</v>
      </c>
      <c r="D88">
        <v>535.69322604349054</v>
      </c>
      <c r="E88">
        <v>715.76961108943954</v>
      </c>
      <c r="F88">
        <v>625.73141856646498</v>
      </c>
      <c r="G88">
        <v>125.1096967435968</v>
      </c>
      <c r="H88">
        <v>2.2509548129999999</v>
      </c>
      <c r="I88">
        <v>12.485462780000001</v>
      </c>
      <c r="J88">
        <v>0.180286054</v>
      </c>
      <c r="K88">
        <v>1.1142748012458989</v>
      </c>
      <c r="L88">
        <v>9.5971277131831396</v>
      </c>
      <c r="M88">
        <v>11.21718930914829</v>
      </c>
      <c r="N88">
        <v>1.26827347085171</v>
      </c>
      <c r="O88">
        <v>2.1307840755311851</v>
      </c>
      <c r="P88">
        <v>0.12017073746881481</v>
      </c>
      <c r="Q88">
        <v>-1.148102733382895</v>
      </c>
      <c r="R88">
        <v>2.5105200000000001</v>
      </c>
      <c r="S88">
        <v>380</v>
      </c>
      <c r="T88">
        <v>4</v>
      </c>
      <c r="U88">
        <v>403.24409648828373</v>
      </c>
      <c r="V88">
        <v>59.933122993479735</v>
      </c>
      <c r="W88">
        <v>1.1175999999999999</v>
      </c>
      <c r="X88">
        <v>96.122388400000006</v>
      </c>
      <c r="Y88">
        <f t="shared" si="1"/>
        <v>27.618216556161116</v>
      </c>
    </row>
    <row r="89" spans="1:25" x14ac:dyDescent="0.25">
      <c r="A89" t="s">
        <v>180</v>
      </c>
      <c r="B89" t="s">
        <v>108</v>
      </c>
      <c r="C89" t="s">
        <v>64</v>
      </c>
      <c r="D89">
        <v>526.39457140005993</v>
      </c>
      <c r="E89">
        <v>714.6356288158504</v>
      </c>
      <c r="F89">
        <v>620.51510010795516</v>
      </c>
      <c r="G89">
        <v>124.3266597748505</v>
      </c>
      <c r="H89">
        <v>2.3530132180000001</v>
      </c>
      <c r="I89">
        <v>11.010766439999999</v>
      </c>
      <c r="J89">
        <v>0.21370112899999999</v>
      </c>
      <c r="K89">
        <v>1.1853753770654869</v>
      </c>
      <c r="L89">
        <v>7.0824663909180128</v>
      </c>
      <c r="M89">
        <v>11.21646277468351</v>
      </c>
      <c r="N89">
        <v>-0.20569633468351081</v>
      </c>
      <c r="O89">
        <v>1.985423450481379</v>
      </c>
      <c r="P89">
        <v>0.36758976751862132</v>
      </c>
      <c r="Q89">
        <v>0.57328610220213205</v>
      </c>
      <c r="R89">
        <v>1.9116</v>
      </c>
      <c r="S89">
        <v>410</v>
      </c>
      <c r="T89">
        <v>6</v>
      </c>
      <c r="U89">
        <v>347.45216862770002</v>
      </c>
      <c r="V89">
        <v>51.722857317635714</v>
      </c>
      <c r="W89">
        <v>1.1175999999999999</v>
      </c>
      <c r="X89">
        <v>98.773995999999997</v>
      </c>
      <c r="Y89">
        <f t="shared" si="1"/>
        <v>27.991073981968764</v>
      </c>
    </row>
    <row r="90" spans="1:25" x14ac:dyDescent="0.25">
      <c r="A90" t="s">
        <v>180</v>
      </c>
      <c r="B90" t="s">
        <v>109</v>
      </c>
      <c r="C90" t="s">
        <v>61</v>
      </c>
      <c r="D90">
        <v>557.23888924168341</v>
      </c>
      <c r="E90">
        <v>717.81077918189987</v>
      </c>
      <c r="F90">
        <v>637.52483421179159</v>
      </c>
      <c r="G90">
        <v>126.8740578461247</v>
      </c>
      <c r="H90">
        <v>2.007148624</v>
      </c>
      <c r="I90">
        <v>12.04638525</v>
      </c>
      <c r="J90">
        <v>0.16661833300000001</v>
      </c>
      <c r="K90">
        <v>1.2840555469226369</v>
      </c>
      <c r="L90">
        <v>7.3514838348691551</v>
      </c>
      <c r="M90">
        <v>11.2105440175964</v>
      </c>
      <c r="N90">
        <v>0.83584123240360242</v>
      </c>
      <c r="O90">
        <v>2.102679293451009</v>
      </c>
      <c r="P90">
        <v>-9.5530669451009409E-2</v>
      </c>
      <c r="Q90">
        <v>-0.93137190185461183</v>
      </c>
      <c r="R90">
        <v>3.2271999999999998</v>
      </c>
      <c r="S90">
        <v>420</v>
      </c>
      <c r="T90">
        <v>6</v>
      </c>
      <c r="U90">
        <v>439.07793633369926</v>
      </c>
      <c r="V90">
        <v>65.073442907841169</v>
      </c>
      <c r="W90">
        <v>1.7272000000000001</v>
      </c>
      <c r="X90">
        <v>101.838506</v>
      </c>
      <c r="Y90">
        <f t="shared" si="1"/>
        <v>32.420011790450445</v>
      </c>
    </row>
    <row r="91" spans="1:25" x14ac:dyDescent="0.25">
      <c r="A91" t="s">
        <v>180</v>
      </c>
      <c r="B91" t="s">
        <v>110</v>
      </c>
      <c r="C91" t="s">
        <v>61</v>
      </c>
      <c r="D91">
        <v>522.31223521513914</v>
      </c>
      <c r="E91">
        <v>708.96571744790492</v>
      </c>
      <c r="F91">
        <v>615.63897633152203</v>
      </c>
      <c r="G91">
        <v>123.5932010413274</v>
      </c>
      <c r="H91">
        <v>2.3331685279999999</v>
      </c>
      <c r="I91">
        <v>11.215060490000001</v>
      </c>
      <c r="J91">
        <v>0.20803887099999999</v>
      </c>
      <c r="K91">
        <v>1.3509962336983621</v>
      </c>
      <c r="L91">
        <v>12.290401282751789</v>
      </c>
      <c r="M91">
        <v>11.14672460181734</v>
      </c>
      <c r="N91">
        <v>6.8335888182664561E-2</v>
      </c>
      <c r="O91">
        <v>1.9991645067936039</v>
      </c>
      <c r="P91">
        <v>0.3340040212063955</v>
      </c>
      <c r="Q91">
        <v>0.26566813302373088</v>
      </c>
      <c r="R91">
        <v>2.4268399999999999</v>
      </c>
      <c r="S91">
        <v>380</v>
      </c>
      <c r="T91">
        <v>4</v>
      </c>
      <c r="U91">
        <v>432.2740426921647</v>
      </c>
      <c r="V91">
        <v>64.864349795428495</v>
      </c>
      <c r="W91">
        <v>1.016</v>
      </c>
      <c r="X91">
        <v>104.7288228</v>
      </c>
      <c r="Y91">
        <f t="shared" si="1"/>
        <v>27.125938158450605</v>
      </c>
    </row>
    <row r="92" spans="1:25" x14ac:dyDescent="0.25">
      <c r="A92" t="s">
        <v>180</v>
      </c>
      <c r="B92" t="s">
        <v>111</v>
      </c>
      <c r="C92" t="s">
        <v>61</v>
      </c>
      <c r="D92">
        <v>510.29202311509471</v>
      </c>
      <c r="E92">
        <v>667.68876268926169</v>
      </c>
      <c r="F92">
        <v>588.9903929021782</v>
      </c>
      <c r="G92">
        <v>119.55869286681801</v>
      </c>
      <c r="H92">
        <v>1.9674592449999999</v>
      </c>
      <c r="I92">
        <v>10.427132889999999</v>
      </c>
      <c r="J92">
        <v>0.18868650300000001</v>
      </c>
      <c r="K92">
        <v>1.2944500671765919</v>
      </c>
      <c r="L92">
        <v>11.17945201002493</v>
      </c>
      <c r="M92">
        <v>10.60964855753495</v>
      </c>
      <c r="N92">
        <v>-0.18251566753494691</v>
      </c>
      <c r="O92">
        <v>1.894026824598257</v>
      </c>
      <c r="P92">
        <v>7.3432420401743359E-2</v>
      </c>
      <c r="Q92">
        <v>0.25594808793669022</v>
      </c>
      <c r="R92">
        <v>1.8979600000000001</v>
      </c>
      <c r="S92">
        <v>410</v>
      </c>
      <c r="T92">
        <v>6</v>
      </c>
      <c r="U92">
        <v>404.15128230715499</v>
      </c>
      <c r="V92">
        <v>64.393501386568445</v>
      </c>
      <c r="W92">
        <v>1.016</v>
      </c>
      <c r="X92">
        <v>108.62558919999999</v>
      </c>
      <c r="Y92">
        <f t="shared" si="1"/>
        <v>27.952862866306162</v>
      </c>
    </row>
    <row r="93" spans="1:25" x14ac:dyDescent="0.25">
      <c r="A93" t="s">
        <v>180</v>
      </c>
      <c r="B93" t="s">
        <v>112</v>
      </c>
      <c r="C93" t="s">
        <v>61</v>
      </c>
      <c r="D93">
        <v>534.78604022461923</v>
      </c>
      <c r="E93">
        <v>703.7493989893951</v>
      </c>
      <c r="F93">
        <v>619.26771960700717</v>
      </c>
      <c r="G93">
        <v>124.1391683832</v>
      </c>
      <c r="H93">
        <v>2.1120419849999998</v>
      </c>
      <c r="I93">
        <v>10.98852144</v>
      </c>
      <c r="J93">
        <v>0.19220438300000001</v>
      </c>
      <c r="K93">
        <v>1.240255008694207</v>
      </c>
      <c r="L93">
        <v>9.6365622908407591</v>
      </c>
      <c r="M93">
        <v>11.057520016439851</v>
      </c>
      <c r="N93">
        <v>-6.8998576439854631E-2</v>
      </c>
      <c r="O93">
        <v>1.9818961250590099</v>
      </c>
      <c r="P93">
        <v>0.13014585994098971</v>
      </c>
      <c r="Q93">
        <v>0.19914443638084431</v>
      </c>
      <c r="R93">
        <v>2.8479199999999998</v>
      </c>
      <c r="S93">
        <v>410</v>
      </c>
      <c r="T93">
        <v>6</v>
      </c>
      <c r="U93">
        <v>407.32643267320447</v>
      </c>
      <c r="V93">
        <v>61.573905828022838</v>
      </c>
      <c r="W93">
        <v>1.524</v>
      </c>
      <c r="X93">
        <v>100.0901224</v>
      </c>
      <c r="Y93">
        <f t="shared" si="1"/>
        <v>30.969266328597822</v>
      </c>
    </row>
    <row r="94" spans="1:25" x14ac:dyDescent="0.25">
      <c r="A94" t="s">
        <v>180</v>
      </c>
      <c r="B94" t="s">
        <v>113</v>
      </c>
      <c r="C94" t="s">
        <v>69</v>
      </c>
      <c r="D94">
        <v>517.09591675662932</v>
      </c>
      <c r="E94">
        <v>694.90433725540004</v>
      </c>
      <c r="F94">
        <v>606.00012700601474</v>
      </c>
      <c r="G94">
        <v>122.1390496253519</v>
      </c>
      <c r="H94">
        <v>2.222605256</v>
      </c>
      <c r="I94">
        <v>10.198766020000001</v>
      </c>
      <c r="J94">
        <v>0.21792884100000001</v>
      </c>
      <c r="K94">
        <v>1.1576570693953461</v>
      </c>
      <c r="L94">
        <v>14.326454435283701</v>
      </c>
      <c r="M94">
        <v>10.965858259012499</v>
      </c>
      <c r="N94">
        <v>-0.76709223901249857</v>
      </c>
      <c r="O94">
        <v>1.892040904470518</v>
      </c>
      <c r="P94">
        <v>0.33056435152948183</v>
      </c>
      <c r="Q94">
        <v>1.0976565905419799</v>
      </c>
      <c r="R94">
        <v>2.7106400000000002</v>
      </c>
      <c r="S94">
        <v>370</v>
      </c>
      <c r="T94">
        <v>4</v>
      </c>
      <c r="U94">
        <v>398.25457448449168</v>
      </c>
      <c r="V94">
        <v>60.968835060805574</v>
      </c>
      <c r="W94">
        <v>1.4224000000000001</v>
      </c>
      <c r="X94">
        <v>99.309478799999994</v>
      </c>
      <c r="Y94">
        <f t="shared" si="1"/>
        <v>28.73281108357137</v>
      </c>
    </row>
    <row r="95" spans="1:25" x14ac:dyDescent="0.25">
      <c r="A95" t="s">
        <v>180</v>
      </c>
      <c r="B95" t="s">
        <v>114</v>
      </c>
      <c r="C95" t="s">
        <v>64</v>
      </c>
      <c r="D95">
        <v>487.38558118859493</v>
      </c>
      <c r="E95">
        <v>650.45223213070744</v>
      </c>
      <c r="F95">
        <v>568.91890665965116</v>
      </c>
      <c r="G95">
        <v>116.4897665865153</v>
      </c>
      <c r="H95">
        <v>2.038333137</v>
      </c>
      <c r="I95">
        <v>10.091095859999999</v>
      </c>
      <c r="J95">
        <v>0.20199323899999999</v>
      </c>
      <c r="K95">
        <v>1.1694409378137489</v>
      </c>
      <c r="L95">
        <v>8.5373189690035343</v>
      </c>
      <c r="M95">
        <v>10.40991973716193</v>
      </c>
      <c r="N95">
        <v>-0.31882387716193072</v>
      </c>
      <c r="O95">
        <v>1.838944594978716</v>
      </c>
      <c r="P95">
        <v>0.19938854202128381</v>
      </c>
      <c r="Q95">
        <v>0.51821241918321448</v>
      </c>
      <c r="R95">
        <v>2.29196</v>
      </c>
      <c r="S95">
        <v>440</v>
      </c>
      <c r="T95">
        <v>6</v>
      </c>
      <c r="U95">
        <v>401.42972485054116</v>
      </c>
      <c r="V95">
        <v>65.654767206874126</v>
      </c>
      <c r="W95">
        <v>1.2192000000000001</v>
      </c>
      <c r="X95">
        <v>106.2707552</v>
      </c>
      <c r="Y95">
        <f t="shared" si="1"/>
        <v>29.010238606135026</v>
      </c>
    </row>
    <row r="96" spans="1:25" x14ac:dyDescent="0.25">
      <c r="A96" t="s">
        <v>180</v>
      </c>
      <c r="B96" s="2" t="s">
        <v>115</v>
      </c>
      <c r="C96" s="2" t="s">
        <v>64</v>
      </c>
      <c r="D96" s="2">
        <v>519.13708484908966</v>
      </c>
      <c r="E96" s="2">
        <v>678.80178897043493</v>
      </c>
      <c r="F96" s="2">
        <v>598.96943690976229</v>
      </c>
      <c r="G96" s="2">
        <v>121.0747265740677</v>
      </c>
      <c r="H96" s="2">
        <v>1.995808802</v>
      </c>
      <c r="I96" s="2">
        <v>10.16828922</v>
      </c>
      <c r="J96" s="2">
        <v>0.19627773700000001</v>
      </c>
      <c r="K96" s="2">
        <v>1.2318192457831629</v>
      </c>
      <c r="L96" s="2">
        <v>8.0915190740995566</v>
      </c>
      <c r="M96" s="2">
        <v>10.746216427996851</v>
      </c>
      <c r="N96" s="2">
        <v>-0.57792720799685249</v>
      </c>
      <c r="O96" s="2">
        <v>1.881074087485112</v>
      </c>
      <c r="P96" s="2">
        <v>0.11473471451488799</v>
      </c>
      <c r="Q96" s="2">
        <v>0.69266192251174052</v>
      </c>
      <c r="R96" s="2">
        <v>1.8889199999999999</v>
      </c>
      <c r="S96" s="2">
        <v>380</v>
      </c>
      <c r="T96" s="2">
        <v>4</v>
      </c>
      <c r="U96" s="2">
        <v>419.57344122796678</v>
      </c>
      <c r="V96" s="2">
        <v>65.756268168969584</v>
      </c>
      <c r="W96" s="2">
        <v>0.91439999999999999</v>
      </c>
      <c r="X96" s="2">
        <v>111.4126804</v>
      </c>
      <c r="Y96" s="2">
        <f t="shared" si="1"/>
        <v>25.951851445667952</v>
      </c>
    </row>
    <row r="97" spans="1:25" x14ac:dyDescent="0.25">
      <c r="A97" t="s">
        <v>181</v>
      </c>
      <c r="B97" t="s">
        <v>26</v>
      </c>
      <c r="D97">
        <v>506.2559306</v>
      </c>
      <c r="E97">
        <v>605.18627718000005</v>
      </c>
      <c r="F97">
        <v>555.72110388999999</v>
      </c>
      <c r="G97">
        <v>116.5760578</v>
      </c>
      <c r="H97">
        <v>1.5703229620000001</v>
      </c>
      <c r="I97">
        <v>12.459311749999999</v>
      </c>
      <c r="J97">
        <v>0.12603609199999999</v>
      </c>
      <c r="K97">
        <v>2.323852770349244</v>
      </c>
      <c r="L97">
        <v>15.25407249071864</v>
      </c>
      <c r="M97">
        <v>12.240450234883619</v>
      </c>
      <c r="N97">
        <v>0.21886151511638199</v>
      </c>
      <c r="O97">
        <v>1.5044466549097</v>
      </c>
      <c r="P97">
        <v>6.5876307090300124E-2</v>
      </c>
      <c r="Q97">
        <v>-0.15298520802608179</v>
      </c>
      <c r="R97">
        <v>4.0999999999999996</v>
      </c>
      <c r="S97">
        <v>537</v>
      </c>
      <c r="T97">
        <v>7</v>
      </c>
      <c r="U97">
        <v>384.58049886621313</v>
      </c>
      <c r="V97">
        <v>58.73</v>
      </c>
      <c r="W97">
        <v>2.4891999999999999</v>
      </c>
      <c r="X97">
        <v>91.354656000000006</v>
      </c>
      <c r="Y97">
        <f t="shared" si="1"/>
        <v>36.453907900707833</v>
      </c>
    </row>
    <row r="98" spans="1:25" x14ac:dyDescent="0.25">
      <c r="A98" t="s">
        <v>181</v>
      </c>
      <c r="B98" t="s">
        <v>116</v>
      </c>
      <c r="D98">
        <v>508.53380299999998</v>
      </c>
      <c r="E98">
        <v>598.32178110999996</v>
      </c>
      <c r="F98">
        <v>553.42779205499994</v>
      </c>
      <c r="G98">
        <v>114.6547589</v>
      </c>
      <c r="H98">
        <v>1.4252060019999999</v>
      </c>
      <c r="I98">
        <v>12.88104603</v>
      </c>
      <c r="J98">
        <v>0.11064365399999999</v>
      </c>
      <c r="K98">
        <v>2.5270102302356712</v>
      </c>
      <c r="L98">
        <v>14.98224518624971</v>
      </c>
      <c r="M98">
        <v>11.84342104297304</v>
      </c>
      <c r="N98">
        <v>1.037624987026964</v>
      </c>
      <c r="O98">
        <v>1.49734133021508</v>
      </c>
      <c r="P98">
        <v>-7.2135328215080285E-2</v>
      </c>
      <c r="Q98">
        <v>-1.109760315242045</v>
      </c>
      <c r="R98">
        <v>3.2</v>
      </c>
      <c r="S98">
        <v>488</v>
      </c>
      <c r="T98">
        <v>6</v>
      </c>
      <c r="U98">
        <v>386.84807256235825</v>
      </c>
      <c r="V98">
        <v>65.510000000000005</v>
      </c>
      <c r="W98">
        <v>1.8288</v>
      </c>
      <c r="X98">
        <v>95.741744000000011</v>
      </c>
      <c r="Y98">
        <f t="shared" si="1"/>
        <v>32.291548517577866</v>
      </c>
    </row>
    <row r="99" spans="1:25" x14ac:dyDescent="0.25">
      <c r="A99" t="s">
        <v>181</v>
      </c>
      <c r="B99" t="s">
        <v>117</v>
      </c>
      <c r="D99">
        <v>569.45907780000005</v>
      </c>
      <c r="E99">
        <v>655.63091325000005</v>
      </c>
      <c r="F99">
        <v>612.5449955250001</v>
      </c>
      <c r="G99">
        <v>121.0236402</v>
      </c>
      <c r="H99">
        <v>1.367806912</v>
      </c>
      <c r="I99">
        <v>13.507733330000001</v>
      </c>
      <c r="J99">
        <v>0.10126102400000001</v>
      </c>
      <c r="K99">
        <v>3.1837806978987051</v>
      </c>
      <c r="L99">
        <v>20.43458016109982</v>
      </c>
      <c r="M99">
        <v>12.27762481861102</v>
      </c>
      <c r="N99">
        <v>1.230108511388984</v>
      </c>
      <c r="O99">
        <v>1.65870700652758</v>
      </c>
      <c r="P99">
        <v>-0.29090009452757992</v>
      </c>
      <c r="Q99">
        <v>-1.5210086059165639</v>
      </c>
      <c r="R99">
        <v>2.37</v>
      </c>
      <c r="S99">
        <v>389</v>
      </c>
      <c r="T99">
        <v>4</v>
      </c>
      <c r="U99">
        <v>410.88435374149657</v>
      </c>
      <c r="V99">
        <v>64.849999999999994</v>
      </c>
      <c r="W99">
        <v>1.4478</v>
      </c>
      <c r="X99">
        <v>107.61268799999999</v>
      </c>
      <c r="Y99">
        <f t="shared" si="1"/>
        <v>28.536569608752114</v>
      </c>
    </row>
    <row r="100" spans="1:25" x14ac:dyDescent="0.25">
      <c r="A100" t="s">
        <v>181</v>
      </c>
      <c r="B100" t="s">
        <v>118</v>
      </c>
      <c r="D100">
        <v>502.85736789999999</v>
      </c>
      <c r="E100">
        <v>608.97202330000005</v>
      </c>
      <c r="F100">
        <v>555.91469559999996</v>
      </c>
      <c r="G100">
        <v>116.3870381</v>
      </c>
      <c r="H100">
        <v>1.68435961</v>
      </c>
      <c r="I100">
        <v>13.34419175</v>
      </c>
      <c r="J100">
        <v>0.12622417599999999</v>
      </c>
      <c r="K100">
        <v>2.2799188814001812</v>
      </c>
      <c r="L100">
        <v>14.747748606447621</v>
      </c>
      <c r="M100">
        <v>12.41155048461118</v>
      </c>
      <c r="N100">
        <v>0.93264126538882053</v>
      </c>
      <c r="O100">
        <v>1.5611537588013999</v>
      </c>
      <c r="P100">
        <v>0.1232058511986001</v>
      </c>
      <c r="Q100">
        <v>-0.80943541419022047</v>
      </c>
      <c r="R100">
        <v>4.97</v>
      </c>
      <c r="S100">
        <v>444</v>
      </c>
      <c r="T100">
        <v>6</v>
      </c>
      <c r="U100">
        <v>380.04535147392289</v>
      </c>
      <c r="V100">
        <v>65.52</v>
      </c>
      <c r="W100">
        <v>2.7431999999999999</v>
      </c>
      <c r="X100">
        <v>77.935327999999998</v>
      </c>
      <c r="Y100">
        <f t="shared" si="1"/>
        <v>37.642571377047794</v>
      </c>
    </row>
    <row r="101" spans="1:25" x14ac:dyDescent="0.25">
      <c r="A101" t="s">
        <v>181</v>
      </c>
      <c r="B101" t="s">
        <v>119</v>
      </c>
      <c r="D101">
        <v>513.68390480000005</v>
      </c>
      <c r="E101">
        <v>618.43595970000001</v>
      </c>
      <c r="F101">
        <v>566.05993224999997</v>
      </c>
      <c r="G101">
        <v>118.6832198</v>
      </c>
      <c r="H101">
        <v>1.6627310289999999</v>
      </c>
      <c r="I101">
        <v>11.2801127</v>
      </c>
      <c r="J101">
        <v>0.14740375999999999</v>
      </c>
      <c r="K101">
        <v>2.836157036657188</v>
      </c>
      <c r="L101">
        <v>18.19772490714179</v>
      </c>
      <c r="M101">
        <v>12.56656414555877</v>
      </c>
      <c r="N101">
        <v>-1.2864514455587721</v>
      </c>
      <c r="O101">
        <v>1.4634586848904001</v>
      </c>
      <c r="P101">
        <v>0.19927234410960001</v>
      </c>
      <c r="Q101">
        <v>1.4857237896683719</v>
      </c>
      <c r="R101">
        <v>2.91</v>
      </c>
      <c r="S101">
        <v>512</v>
      </c>
      <c r="T101">
        <v>7</v>
      </c>
      <c r="U101">
        <v>394.10430839002265</v>
      </c>
      <c r="V101">
        <v>66.13</v>
      </c>
      <c r="W101">
        <v>1.7525999999999999</v>
      </c>
      <c r="X101">
        <v>101.41915200000001</v>
      </c>
      <c r="Y101">
        <f t="shared" si="1"/>
        <v>32.511055964105942</v>
      </c>
    </row>
    <row r="102" spans="1:25" x14ac:dyDescent="0.25">
      <c r="A102" t="s">
        <v>181</v>
      </c>
      <c r="B102" t="s">
        <v>120</v>
      </c>
      <c r="D102">
        <v>520.46407820000002</v>
      </c>
      <c r="E102">
        <v>629.8910879</v>
      </c>
      <c r="F102">
        <v>575.17758305000007</v>
      </c>
      <c r="G102">
        <v>117.90729760000001</v>
      </c>
      <c r="H102">
        <v>1.736936662</v>
      </c>
      <c r="I102">
        <v>13.917007140000001</v>
      </c>
      <c r="J102">
        <v>0.124806767</v>
      </c>
      <c r="K102">
        <v>2.9005526617604751</v>
      </c>
      <c r="L102">
        <v>14.49118445872071</v>
      </c>
      <c r="M102">
        <v>12.623750517767821</v>
      </c>
      <c r="N102">
        <v>1.2932566222321851</v>
      </c>
      <c r="O102">
        <v>1.62847912795764</v>
      </c>
      <c r="P102">
        <v>0.1084575340423599</v>
      </c>
      <c r="Q102">
        <v>-1.1847990881898249</v>
      </c>
      <c r="R102">
        <v>3.46</v>
      </c>
      <c r="S102">
        <v>502</v>
      </c>
      <c r="T102">
        <v>7</v>
      </c>
      <c r="U102">
        <v>402.26757369614512</v>
      </c>
      <c r="V102">
        <v>65.61</v>
      </c>
      <c r="W102">
        <v>1.3715999999999999</v>
      </c>
      <c r="X102">
        <v>83.806283999999991</v>
      </c>
      <c r="Y102">
        <f t="shared" si="1"/>
        <v>32.075783559030015</v>
      </c>
    </row>
    <row r="103" spans="1:25" x14ac:dyDescent="0.25">
      <c r="A103" t="s">
        <v>181</v>
      </c>
      <c r="B103" t="s">
        <v>121</v>
      </c>
      <c r="D103">
        <v>488.02017009999997</v>
      </c>
      <c r="E103">
        <v>578.31468958999994</v>
      </c>
      <c r="F103">
        <v>533.16742984500002</v>
      </c>
      <c r="G103">
        <v>112.2462561</v>
      </c>
      <c r="H103">
        <v>1.433246341</v>
      </c>
      <c r="I103">
        <v>11.842173969999999</v>
      </c>
      <c r="J103">
        <v>0.121028989</v>
      </c>
      <c r="K103">
        <v>2.0136043104627408</v>
      </c>
      <c r="L103">
        <v>12.60150509905792</v>
      </c>
      <c r="M103">
        <v>11.65683606020669</v>
      </c>
      <c r="N103">
        <v>0.18533790979331141</v>
      </c>
      <c r="O103">
        <v>1.38173738088992</v>
      </c>
      <c r="P103">
        <v>5.1508960110080222E-2</v>
      </c>
      <c r="Q103">
        <v>-0.1338289496832312</v>
      </c>
      <c r="R103">
        <v>4.01</v>
      </c>
      <c r="S103">
        <v>648</v>
      </c>
      <c r="T103">
        <v>7</v>
      </c>
      <c r="U103">
        <v>374.60317460317458</v>
      </c>
      <c r="V103">
        <v>66.61</v>
      </c>
      <c r="W103">
        <v>2.4638</v>
      </c>
      <c r="X103">
        <v>92.515944000000005</v>
      </c>
      <c r="Y103">
        <f t="shared" si="1"/>
        <v>36.062507484271748</v>
      </c>
    </row>
    <row r="104" spans="1:25" x14ac:dyDescent="0.25">
      <c r="A104" t="s">
        <v>181</v>
      </c>
      <c r="B104" t="s">
        <v>122</v>
      </c>
      <c r="D104">
        <v>477.77921370000001</v>
      </c>
      <c r="E104">
        <v>581.70813880000003</v>
      </c>
      <c r="F104">
        <v>529.74367625000002</v>
      </c>
      <c r="G104">
        <v>112.42793519999999</v>
      </c>
      <c r="H104">
        <v>1.649665478</v>
      </c>
      <c r="I104">
        <v>11.460800949999999</v>
      </c>
      <c r="J104">
        <v>0.143939807</v>
      </c>
      <c r="K104">
        <v>1.973839165610116</v>
      </c>
      <c r="L104">
        <v>13.45750997343201</v>
      </c>
      <c r="M104">
        <v>12.026369958803301</v>
      </c>
      <c r="N104">
        <v>-0.56556900880330296</v>
      </c>
      <c r="O104">
        <v>1.3591651616555001</v>
      </c>
      <c r="P104">
        <v>0.29050031634450008</v>
      </c>
      <c r="Q104">
        <v>0.8560693251478031</v>
      </c>
      <c r="R104">
        <v>2.58</v>
      </c>
      <c r="S104">
        <v>604</v>
      </c>
      <c r="T104">
        <v>7</v>
      </c>
      <c r="U104">
        <v>364.62585034013603</v>
      </c>
      <c r="V104">
        <v>65.47</v>
      </c>
      <c r="W104">
        <v>1.3715999999999999</v>
      </c>
      <c r="X104">
        <v>95.096583999999993</v>
      </c>
      <c r="Y104">
        <f t="shared" si="1"/>
        <v>30.581105177755642</v>
      </c>
    </row>
    <row r="105" spans="1:25" x14ac:dyDescent="0.25">
      <c r="A105" t="s">
        <v>181</v>
      </c>
      <c r="B105" t="s">
        <v>123</v>
      </c>
      <c r="D105">
        <v>520.32957969999995</v>
      </c>
      <c r="E105">
        <v>593.25324460000002</v>
      </c>
      <c r="F105">
        <v>556.79141215000004</v>
      </c>
      <c r="G105">
        <v>117.8366594</v>
      </c>
      <c r="H105">
        <v>1.157518491</v>
      </c>
      <c r="I105">
        <v>11.13535444</v>
      </c>
      <c r="J105">
        <v>0.10394985599999999</v>
      </c>
      <c r="K105">
        <v>3.334813312980935</v>
      </c>
      <c r="L105">
        <v>22.50480212004846</v>
      </c>
      <c r="M105">
        <v>11.66888151647499</v>
      </c>
      <c r="N105">
        <v>-0.53352707647498754</v>
      </c>
      <c r="O105">
        <v>1.43782652986964</v>
      </c>
      <c r="P105">
        <v>-0.28030803886964001</v>
      </c>
      <c r="Q105">
        <v>0.25321903760534759</v>
      </c>
      <c r="R105">
        <v>2.98</v>
      </c>
      <c r="S105">
        <v>550</v>
      </c>
      <c r="T105">
        <v>7</v>
      </c>
      <c r="U105">
        <v>382.31292517006801</v>
      </c>
      <c r="V105">
        <v>65.709999999999994</v>
      </c>
      <c r="W105">
        <v>1.7018</v>
      </c>
      <c r="X105">
        <v>96.774000000000001</v>
      </c>
      <c r="Y105">
        <f t="shared" si="1"/>
        <v>32.357630990557823</v>
      </c>
    </row>
    <row r="106" spans="1:25" x14ac:dyDescent="0.25">
      <c r="A106" t="s">
        <v>181</v>
      </c>
      <c r="B106" t="s">
        <v>124</v>
      </c>
      <c r="D106">
        <v>515.77760679999994</v>
      </c>
      <c r="E106">
        <v>623.97343949999993</v>
      </c>
      <c r="F106">
        <v>569.87552314999994</v>
      </c>
      <c r="G106">
        <v>119.140477</v>
      </c>
      <c r="H106">
        <v>1.717394171</v>
      </c>
      <c r="I106">
        <v>13.811466190000001</v>
      </c>
      <c r="J106">
        <v>0.12434553600000001</v>
      </c>
      <c r="K106">
        <v>3.0993975228483688</v>
      </c>
      <c r="L106">
        <v>16.28769990608</v>
      </c>
      <c r="M106">
        <v>12.69401869701643</v>
      </c>
      <c r="N106">
        <v>1.117447492983572</v>
      </c>
      <c r="O106">
        <v>1.64428060849154</v>
      </c>
      <c r="P106">
        <v>7.3113562508460017E-2</v>
      </c>
      <c r="Q106">
        <v>-1.044333930475112</v>
      </c>
      <c r="R106">
        <v>3.39</v>
      </c>
      <c r="S106">
        <v>511</v>
      </c>
      <c r="T106">
        <v>7</v>
      </c>
      <c r="U106">
        <v>386.39455782312922</v>
      </c>
      <c r="V106">
        <v>64.25</v>
      </c>
      <c r="W106">
        <v>1.4985999999999999</v>
      </c>
      <c r="X106">
        <v>85.419184000000016</v>
      </c>
      <c r="Y106">
        <f t="shared" si="1"/>
        <v>32.252658474299864</v>
      </c>
    </row>
    <row r="107" spans="1:25" x14ac:dyDescent="0.25">
      <c r="A107" t="s">
        <v>181</v>
      </c>
      <c r="B107" t="s">
        <v>125</v>
      </c>
      <c r="D107">
        <v>497.80244590000001</v>
      </c>
      <c r="E107">
        <v>605.22439600000007</v>
      </c>
      <c r="F107">
        <v>551.51342095000007</v>
      </c>
      <c r="G107">
        <v>115.0331067</v>
      </c>
      <c r="H107">
        <v>1.7051103190000001</v>
      </c>
      <c r="I107">
        <v>11.59852064</v>
      </c>
      <c r="J107">
        <v>0.14701101699999999</v>
      </c>
      <c r="K107">
        <v>2.1761423089998408</v>
      </c>
      <c r="L107">
        <v>13.070346714823589</v>
      </c>
      <c r="M107">
        <v>12.33324639833779</v>
      </c>
      <c r="N107">
        <v>-0.73472575833779175</v>
      </c>
      <c r="O107">
        <v>1.4170969816635399</v>
      </c>
      <c r="P107">
        <v>0.28801333733646001</v>
      </c>
      <c r="Q107">
        <v>1.0227390956742519</v>
      </c>
      <c r="R107">
        <v>3.29</v>
      </c>
      <c r="S107">
        <v>461</v>
      </c>
      <c r="T107">
        <v>6</v>
      </c>
      <c r="U107">
        <v>386.39455782312922</v>
      </c>
      <c r="V107">
        <v>63.77</v>
      </c>
      <c r="W107">
        <v>1.4985999999999999</v>
      </c>
      <c r="X107">
        <v>88.451436000000001</v>
      </c>
      <c r="Y107">
        <f t="shared" si="1"/>
        <v>31.229310174219862</v>
      </c>
    </row>
    <row r="108" spans="1:25" x14ac:dyDescent="0.25">
      <c r="A108" t="s">
        <v>181</v>
      </c>
      <c r="B108" t="s">
        <v>126</v>
      </c>
      <c r="D108">
        <v>485.12074769999998</v>
      </c>
      <c r="E108">
        <v>593.8582983</v>
      </c>
      <c r="F108">
        <v>539.48952299999996</v>
      </c>
      <c r="G108">
        <v>114.7575131</v>
      </c>
      <c r="H108">
        <v>1.725992867</v>
      </c>
      <c r="I108">
        <v>11.32577064</v>
      </c>
      <c r="J108">
        <v>0.15239518099999999</v>
      </c>
      <c r="K108">
        <v>2.1975671782388599</v>
      </c>
      <c r="L108">
        <v>12.85491640011991</v>
      </c>
      <c r="M108">
        <v>12.34459234906226</v>
      </c>
      <c r="N108">
        <v>-1.0188217090622551</v>
      </c>
      <c r="O108">
        <v>1.3933951910531399</v>
      </c>
      <c r="P108">
        <v>0.33259767594686029</v>
      </c>
      <c r="Q108">
        <v>1.351419385009115</v>
      </c>
      <c r="R108">
        <v>2.35</v>
      </c>
      <c r="S108">
        <v>575</v>
      </c>
      <c r="T108">
        <v>7</v>
      </c>
      <c r="U108">
        <v>363.71882086167801</v>
      </c>
      <c r="V108">
        <v>63.9</v>
      </c>
      <c r="W108">
        <v>1.143</v>
      </c>
      <c r="X108">
        <v>97.612707999999998</v>
      </c>
      <c r="Y108">
        <f t="shared" si="1"/>
        <v>29.323351827439634</v>
      </c>
    </row>
    <row r="109" spans="1:25" x14ac:dyDescent="0.25">
      <c r="A109" t="s">
        <v>181</v>
      </c>
      <c r="B109" t="s">
        <v>127</v>
      </c>
      <c r="D109">
        <v>517.8226416</v>
      </c>
      <c r="E109">
        <v>594.64788687999999</v>
      </c>
      <c r="F109">
        <v>556.23526423999999</v>
      </c>
      <c r="G109">
        <v>117.37843650000001</v>
      </c>
      <c r="H109">
        <v>1.2194483380000001</v>
      </c>
      <c r="I109">
        <v>9.8485092059999992</v>
      </c>
      <c r="J109">
        <v>0.123820602</v>
      </c>
      <c r="K109">
        <v>2.4454022888960552</v>
      </c>
      <c r="L109">
        <v>32.981326580253437</v>
      </c>
      <c r="M109">
        <v>11.73231079846388</v>
      </c>
      <c r="N109">
        <v>-1.883801592463884</v>
      </c>
      <c r="O109">
        <v>1.3416953055390961</v>
      </c>
      <c r="P109">
        <v>-0.12224696753909629</v>
      </c>
      <c r="Q109">
        <v>1.761554624924788</v>
      </c>
    </row>
    <row r="110" spans="1:25" x14ac:dyDescent="0.25">
      <c r="A110" t="s">
        <v>181</v>
      </c>
      <c r="B110" t="s">
        <v>128</v>
      </c>
      <c r="D110">
        <v>489.97726790000002</v>
      </c>
      <c r="E110">
        <v>588.74228500000004</v>
      </c>
      <c r="F110">
        <v>539.35977645000003</v>
      </c>
      <c r="G110">
        <v>113.6572966</v>
      </c>
      <c r="H110">
        <v>1.567698684</v>
      </c>
      <c r="I110">
        <v>11.110337619999999</v>
      </c>
      <c r="J110">
        <v>0.141102704</v>
      </c>
      <c r="K110">
        <v>1.9831529748934771</v>
      </c>
      <c r="L110">
        <v>11.69945207723393</v>
      </c>
      <c r="M110">
        <v>11.99407871627991</v>
      </c>
      <c r="N110">
        <v>-0.8837410962799126</v>
      </c>
      <c r="O110">
        <v>1.35822459177032</v>
      </c>
      <c r="P110">
        <v>0.20947409222968011</v>
      </c>
      <c r="Q110">
        <v>1.0932151885095931</v>
      </c>
      <c r="R110">
        <v>3</v>
      </c>
      <c r="S110">
        <v>509</v>
      </c>
      <c r="T110">
        <v>7</v>
      </c>
      <c r="U110">
        <v>384.58049886621313</v>
      </c>
      <c r="V110">
        <v>66.510000000000005</v>
      </c>
      <c r="W110">
        <v>1.8795999999999999</v>
      </c>
      <c r="X110">
        <v>100.709476</v>
      </c>
      <c r="Y110">
        <f t="shared" si="1"/>
        <v>32.968289725907844</v>
      </c>
    </row>
    <row r="111" spans="1:25" x14ac:dyDescent="0.25">
      <c r="A111" t="s">
        <v>181</v>
      </c>
      <c r="B111" t="s">
        <v>129</v>
      </c>
      <c r="D111">
        <v>564.08722839999996</v>
      </c>
      <c r="E111">
        <v>674.506215</v>
      </c>
      <c r="F111">
        <v>619.29672170000003</v>
      </c>
      <c r="G111">
        <v>125.699372</v>
      </c>
      <c r="H111">
        <v>1.752682327</v>
      </c>
      <c r="I111">
        <v>13.697401109999999</v>
      </c>
      <c r="J111">
        <v>0.12795729</v>
      </c>
      <c r="K111">
        <v>2.128546226329239</v>
      </c>
      <c r="L111">
        <v>11.298906501437839</v>
      </c>
      <c r="M111">
        <v>13.29579111312284</v>
      </c>
      <c r="N111">
        <v>0.40160999687716448</v>
      </c>
      <c r="O111">
        <v>1.75876789866126</v>
      </c>
      <c r="P111">
        <v>-6.085571661260003E-3</v>
      </c>
      <c r="Q111">
        <v>-0.40769556853842448</v>
      </c>
      <c r="R111">
        <v>3.81</v>
      </c>
      <c r="S111">
        <v>701</v>
      </c>
      <c r="T111">
        <v>8</v>
      </c>
      <c r="U111">
        <v>425.39682539682536</v>
      </c>
      <c r="V111">
        <v>66.010000000000005</v>
      </c>
      <c r="W111">
        <v>1.778</v>
      </c>
      <c r="X111">
        <v>88.257887999999994</v>
      </c>
      <c r="Y111">
        <f t="shared" si="1"/>
        <v>34.94606525844825</v>
      </c>
    </row>
    <row r="112" spans="1:25" x14ac:dyDescent="0.25">
      <c r="A112" t="s">
        <v>181</v>
      </c>
      <c r="B112" t="s">
        <v>130</v>
      </c>
      <c r="D112">
        <v>570.29857189999996</v>
      </c>
      <c r="E112">
        <v>677.0029217</v>
      </c>
      <c r="F112">
        <v>623.65074679999998</v>
      </c>
      <c r="G112">
        <v>125.4387064</v>
      </c>
      <c r="H112">
        <v>1.693719838</v>
      </c>
      <c r="I112">
        <v>13.28330873</v>
      </c>
      <c r="J112">
        <v>0.12750737600000001</v>
      </c>
      <c r="K112">
        <v>2.2122832588731192</v>
      </c>
      <c r="L112">
        <v>13.967412608054561</v>
      </c>
      <c r="M112">
        <v>13.17759951632218</v>
      </c>
      <c r="N112">
        <v>0.1057092136778159</v>
      </c>
      <c r="O112">
        <v>1.7257237406057799</v>
      </c>
      <c r="P112">
        <v>-3.2003902605780121E-2</v>
      </c>
      <c r="Q112">
        <v>-0.13771311628359609</v>
      </c>
      <c r="R112">
        <v>3.24</v>
      </c>
      <c r="S112">
        <v>761</v>
      </c>
      <c r="T112">
        <v>8</v>
      </c>
      <c r="U112">
        <v>427.66439909297048</v>
      </c>
      <c r="V112">
        <v>63.12</v>
      </c>
      <c r="W112">
        <v>0.83819999999999995</v>
      </c>
      <c r="X112">
        <v>83.161124000000001</v>
      </c>
      <c r="Y112">
        <f t="shared" si="1"/>
        <v>30.93480649139827</v>
      </c>
    </row>
    <row r="113" spans="1:25" x14ac:dyDescent="0.25">
      <c r="A113" t="s">
        <v>181</v>
      </c>
      <c r="B113" t="s">
        <v>131</v>
      </c>
      <c r="D113">
        <v>468.05354990000001</v>
      </c>
      <c r="E113">
        <v>552.85702007999998</v>
      </c>
      <c r="F113">
        <v>510.45528499</v>
      </c>
      <c r="G113">
        <v>109.1143756</v>
      </c>
      <c r="H113">
        <v>1.346086828</v>
      </c>
      <c r="I113">
        <v>11.18047222</v>
      </c>
      <c r="J113">
        <v>0.120396241</v>
      </c>
      <c r="K113">
        <v>1.92919194093167</v>
      </c>
      <c r="L113">
        <v>13.63429526174016</v>
      </c>
      <c r="M113">
        <v>11.254331509939901</v>
      </c>
      <c r="N113">
        <v>-7.3859289939903761E-2</v>
      </c>
      <c r="O113">
        <v>1.27832286893492</v>
      </c>
      <c r="P113">
        <v>6.7763959065080259E-2</v>
      </c>
      <c r="Q113">
        <v>0.14162324900498399</v>
      </c>
      <c r="R113">
        <v>3.31</v>
      </c>
      <c r="S113">
        <v>489</v>
      </c>
      <c r="T113">
        <v>6</v>
      </c>
      <c r="U113">
        <v>354.64852607709747</v>
      </c>
      <c r="V113">
        <v>66.55</v>
      </c>
      <c r="W113">
        <v>1.7272000000000001</v>
      </c>
      <c r="X113">
        <v>86.580471999999986</v>
      </c>
      <c r="Y113">
        <f t="shared" si="1"/>
        <v>31.808387377319541</v>
      </c>
    </row>
    <row r="114" spans="1:25" x14ac:dyDescent="0.25">
      <c r="A114" t="s">
        <v>181</v>
      </c>
      <c r="B114" t="s">
        <v>132</v>
      </c>
      <c r="D114">
        <v>554.2974117</v>
      </c>
      <c r="E114">
        <v>685.6393716</v>
      </c>
      <c r="F114">
        <v>619.96839165000006</v>
      </c>
      <c r="G114">
        <v>124.9820079</v>
      </c>
      <c r="H114">
        <v>2.0847930140000002</v>
      </c>
      <c r="I114">
        <v>13.28929524</v>
      </c>
      <c r="J114">
        <v>0.15687762</v>
      </c>
      <c r="K114">
        <v>2.4056850946539172</v>
      </c>
      <c r="L114">
        <v>14.79710878636042</v>
      </c>
      <c r="M114">
        <v>13.780248553456451</v>
      </c>
      <c r="N114">
        <v>-0.49095331345645299</v>
      </c>
      <c r="O114">
        <v>1.71761881505394</v>
      </c>
      <c r="P114">
        <v>0.3671741989460604</v>
      </c>
      <c r="Q114">
        <v>0.85812751240251339</v>
      </c>
      <c r="R114">
        <v>3.94</v>
      </c>
      <c r="S114">
        <v>473</v>
      </c>
      <c r="T114">
        <v>6</v>
      </c>
      <c r="U114">
        <v>434.92063492063488</v>
      </c>
      <c r="V114">
        <v>66.97</v>
      </c>
      <c r="W114">
        <v>2.2098</v>
      </c>
      <c r="X114">
        <v>97.161096000000001</v>
      </c>
      <c r="Y114">
        <f t="shared" si="1"/>
        <v>34.914317841366341</v>
      </c>
    </row>
    <row r="115" spans="1:25" x14ac:dyDescent="0.25">
      <c r="A115" t="s">
        <v>181</v>
      </c>
      <c r="B115" t="s">
        <v>133</v>
      </c>
      <c r="D115">
        <v>499.12355500000001</v>
      </c>
      <c r="E115">
        <v>570.46146670000007</v>
      </c>
      <c r="F115">
        <v>534.7925108500001</v>
      </c>
      <c r="G115">
        <v>112.1844454</v>
      </c>
      <c r="H115">
        <v>1.132347805</v>
      </c>
      <c r="I115">
        <v>10.776060640000001</v>
      </c>
      <c r="J115">
        <v>0.10507994</v>
      </c>
      <c r="K115">
        <v>2.408964080850176</v>
      </c>
      <c r="L115">
        <v>24.545788993662558</v>
      </c>
      <c r="M115">
        <v>11.158877582819541</v>
      </c>
      <c r="N115">
        <v>-0.38281694281953799</v>
      </c>
      <c r="O115">
        <v>1.3080192213328401</v>
      </c>
      <c r="P115">
        <v>-0.17567141633283989</v>
      </c>
      <c r="Q115">
        <v>0.20714552648669821</v>
      </c>
      <c r="R115">
        <v>3.84</v>
      </c>
      <c r="S115">
        <v>615</v>
      </c>
      <c r="T115">
        <v>7</v>
      </c>
      <c r="U115">
        <v>355.10204081632651</v>
      </c>
      <c r="V115">
        <v>56.01</v>
      </c>
      <c r="W115">
        <v>2.1844000000000001</v>
      </c>
      <c r="X115">
        <v>85.419184000000016</v>
      </c>
      <c r="Y115">
        <f t="shared" si="1"/>
        <v>34.854536854517555</v>
      </c>
    </row>
    <row r="116" spans="1:25" x14ac:dyDescent="0.25">
      <c r="A116" t="s">
        <v>181</v>
      </c>
      <c r="B116" t="s">
        <v>134</v>
      </c>
      <c r="D116">
        <v>573.23889010000005</v>
      </c>
      <c r="E116">
        <v>662.09117371000002</v>
      </c>
      <c r="F116">
        <v>617.66503190499998</v>
      </c>
      <c r="G116">
        <v>126.0466502</v>
      </c>
      <c r="H116">
        <v>1.4103537079999999</v>
      </c>
      <c r="I116">
        <v>12.985569679999999</v>
      </c>
      <c r="J116">
        <v>0.108609306</v>
      </c>
      <c r="K116">
        <v>3.1185257503664698</v>
      </c>
      <c r="L116">
        <v>16.848096360407201</v>
      </c>
      <c r="M116">
        <v>12.763904234651941</v>
      </c>
      <c r="N116">
        <v>0.22166544534805691</v>
      </c>
      <c r="O116">
        <v>1.71678929891668</v>
      </c>
      <c r="P116">
        <v>-0.30643559091667982</v>
      </c>
      <c r="Q116">
        <v>-0.5281010362647367</v>
      </c>
      <c r="R116">
        <v>4.1100000000000003</v>
      </c>
      <c r="S116">
        <v>773</v>
      </c>
      <c r="T116">
        <v>8</v>
      </c>
      <c r="U116">
        <v>429.02494331065759</v>
      </c>
      <c r="V116">
        <v>66.39</v>
      </c>
      <c r="W116">
        <v>2.0828000000000002</v>
      </c>
      <c r="X116">
        <v>89.935304000000002</v>
      </c>
      <c r="Y116">
        <f t="shared" si="1"/>
        <v>36.330236291232289</v>
      </c>
    </row>
    <row r="117" spans="1:25" x14ac:dyDescent="0.25">
      <c r="A117" t="s">
        <v>181</v>
      </c>
      <c r="B117" t="s">
        <v>135</v>
      </c>
      <c r="D117">
        <v>467.30709359999997</v>
      </c>
      <c r="E117">
        <v>552.34272857999997</v>
      </c>
      <c r="F117">
        <v>509.82491109</v>
      </c>
      <c r="G117">
        <v>108.3528579</v>
      </c>
      <c r="H117">
        <v>1.349771984</v>
      </c>
      <c r="I117">
        <v>10.902398099999999</v>
      </c>
      <c r="J117">
        <v>0.123805054</v>
      </c>
      <c r="K117">
        <v>2.147066507003033</v>
      </c>
      <c r="L117">
        <v>13.970004969505119</v>
      </c>
      <c r="M117">
        <v>11.197209315542411</v>
      </c>
      <c r="N117">
        <v>-0.29481121554241341</v>
      </c>
      <c r="O117">
        <v>1.2452015474727001</v>
      </c>
      <c r="P117">
        <v>0.1045704365273001</v>
      </c>
      <c r="Q117">
        <v>0.39938165206971349</v>
      </c>
      <c r="R117">
        <v>4.0199999999999996</v>
      </c>
      <c r="S117">
        <v>604</v>
      </c>
      <c r="T117">
        <v>7</v>
      </c>
      <c r="U117">
        <v>342.4036281179138</v>
      </c>
      <c r="V117">
        <v>64.64</v>
      </c>
      <c r="W117">
        <v>2.2351999999999999</v>
      </c>
      <c r="X117">
        <v>80.193387999999999</v>
      </c>
      <c r="Y117">
        <f t="shared" si="1"/>
        <v>35.198319125373423</v>
      </c>
    </row>
    <row r="118" spans="1:25" x14ac:dyDescent="0.25">
      <c r="A118" t="s">
        <v>181</v>
      </c>
      <c r="B118" t="s">
        <v>136</v>
      </c>
      <c r="D118">
        <v>521.38011670000003</v>
      </c>
      <c r="E118">
        <v>604.90668047000008</v>
      </c>
      <c r="F118">
        <v>563.14339858500011</v>
      </c>
      <c r="G118">
        <v>119.20433300000001</v>
      </c>
      <c r="H118">
        <v>1.325818473</v>
      </c>
      <c r="I118">
        <v>13.48135079</v>
      </c>
      <c r="J118">
        <v>9.8344631000000002E-2</v>
      </c>
      <c r="K118">
        <v>2.878089889038034</v>
      </c>
      <c r="L118">
        <v>18.02205036511242</v>
      </c>
      <c r="M118">
        <v>12.057965416756559</v>
      </c>
      <c r="N118">
        <v>1.4233853732434361</v>
      </c>
      <c r="O118">
        <v>1.62300118565914</v>
      </c>
      <c r="P118">
        <v>-0.29718271265913998</v>
      </c>
      <c r="Q118">
        <v>-1.720568085902576</v>
      </c>
      <c r="R118">
        <v>2.75</v>
      </c>
      <c r="S118">
        <v>506</v>
      </c>
      <c r="T118">
        <v>7</v>
      </c>
      <c r="U118">
        <v>361.45124716553289</v>
      </c>
      <c r="V118">
        <v>65.599999999999994</v>
      </c>
      <c r="W118">
        <v>1.27</v>
      </c>
      <c r="X118">
        <v>89.548208000000002</v>
      </c>
      <c r="Y118">
        <f t="shared" si="1"/>
        <v>30.418464189049615</v>
      </c>
    </row>
    <row r="119" spans="1:25" x14ac:dyDescent="0.25">
      <c r="A119" t="s">
        <v>181</v>
      </c>
      <c r="B119" t="s">
        <v>137</v>
      </c>
      <c r="D119">
        <v>519.85729700000002</v>
      </c>
      <c r="E119">
        <v>622.85052760000008</v>
      </c>
      <c r="F119">
        <v>571.35391230000005</v>
      </c>
      <c r="G119">
        <v>118.2541069</v>
      </c>
      <c r="H119">
        <v>1.634813184</v>
      </c>
      <c r="I119">
        <v>14.45544905</v>
      </c>
      <c r="J119">
        <v>0.113093213</v>
      </c>
      <c r="K119">
        <v>2.296364160914365</v>
      </c>
      <c r="L119">
        <v>12.436279506126921</v>
      </c>
      <c r="M119">
        <v>12.48524906401701</v>
      </c>
      <c r="N119">
        <v>1.9701999859829891</v>
      </c>
      <c r="O119">
        <v>1.6715928935463999</v>
      </c>
      <c r="P119">
        <v>-3.6779709546399968E-2</v>
      </c>
      <c r="Q119">
        <v>-2.006979695529389</v>
      </c>
      <c r="R119">
        <v>3.16</v>
      </c>
      <c r="S119">
        <v>558</v>
      </c>
      <c r="T119">
        <v>7</v>
      </c>
      <c r="U119">
        <v>403.62811791383217</v>
      </c>
      <c r="V119">
        <v>66.97</v>
      </c>
      <c r="W119">
        <v>1.5494000000000001</v>
      </c>
      <c r="X119">
        <v>94.386908000000005</v>
      </c>
      <c r="Y119">
        <f t="shared" si="1"/>
        <v>32.219987275104039</v>
      </c>
    </row>
    <row r="120" spans="1:25" x14ac:dyDescent="0.25">
      <c r="A120" t="s">
        <v>181</v>
      </c>
      <c r="B120" t="s">
        <v>138</v>
      </c>
      <c r="D120">
        <v>485.55278750000002</v>
      </c>
      <c r="E120">
        <v>583.39618069000005</v>
      </c>
      <c r="F120">
        <v>534.47448409499998</v>
      </c>
      <c r="G120">
        <v>112.25382810000001</v>
      </c>
      <c r="H120">
        <v>1.5530697330000001</v>
      </c>
      <c r="I120">
        <v>12.889710640000001</v>
      </c>
      <c r="J120">
        <v>0.120489108</v>
      </c>
      <c r="K120">
        <v>2.334578430317416</v>
      </c>
      <c r="L120">
        <v>16.858379112373289</v>
      </c>
      <c r="M120">
        <v>11.85371895857894</v>
      </c>
      <c r="N120">
        <v>1.0359916814210559</v>
      </c>
      <c r="O120">
        <v>1.45318014637814</v>
      </c>
      <c r="P120">
        <v>9.9889586621860094E-2</v>
      </c>
      <c r="Q120">
        <v>-0.93610209479919559</v>
      </c>
      <c r="R120">
        <v>3.26</v>
      </c>
      <c r="S120">
        <v>541</v>
      </c>
      <c r="T120">
        <v>7</v>
      </c>
      <c r="U120">
        <v>360.54421768707482</v>
      </c>
      <c r="V120">
        <v>64.11</v>
      </c>
      <c r="W120">
        <v>1.5748</v>
      </c>
      <c r="X120">
        <v>84.967572000000004</v>
      </c>
      <c r="Y120">
        <f t="shared" si="1"/>
        <v>32.137095437133603</v>
      </c>
    </row>
    <row r="121" spans="1:25" x14ac:dyDescent="0.25">
      <c r="A121" t="s">
        <v>181</v>
      </c>
      <c r="B121" t="s">
        <v>139</v>
      </c>
      <c r="D121">
        <v>525.4991708</v>
      </c>
      <c r="E121">
        <v>637.98301709999998</v>
      </c>
      <c r="F121">
        <v>581.74109395000005</v>
      </c>
      <c r="G121">
        <v>119.8640363</v>
      </c>
      <c r="H121">
        <v>1.785457877</v>
      </c>
      <c r="I121">
        <v>12.629688890000001</v>
      </c>
      <c r="J121">
        <v>0.14136990199999999</v>
      </c>
      <c r="K121">
        <v>2.7601002692517791</v>
      </c>
      <c r="L121">
        <v>19.03137186293614</v>
      </c>
      <c r="M121">
        <v>12.86550790069934</v>
      </c>
      <c r="N121">
        <v>-0.23581901069933589</v>
      </c>
      <c r="O121">
        <v>1.5773281765824401</v>
      </c>
      <c r="P121">
        <v>0.20812970041756021</v>
      </c>
      <c r="Q121">
        <v>0.44394871111689599</v>
      </c>
      <c r="R121">
        <v>3.63</v>
      </c>
      <c r="S121">
        <v>630</v>
      </c>
      <c r="T121">
        <v>7</v>
      </c>
      <c r="U121">
        <v>407.2562358276644</v>
      </c>
      <c r="V121">
        <v>65.930000000000007</v>
      </c>
      <c r="W121">
        <v>1.8795999999999999</v>
      </c>
      <c r="X121">
        <v>90.515948000000009</v>
      </c>
      <c r="Y121">
        <f t="shared" si="1"/>
        <v>34.097803690928075</v>
      </c>
    </row>
    <row r="122" spans="1:25" x14ac:dyDescent="0.25">
      <c r="A122" t="s">
        <v>181</v>
      </c>
      <c r="B122" t="s">
        <v>140</v>
      </c>
      <c r="D122">
        <v>495.55934939999997</v>
      </c>
      <c r="E122">
        <v>574.37540485</v>
      </c>
      <c r="F122">
        <v>534.96737712499998</v>
      </c>
      <c r="G122">
        <v>113.61743540000001</v>
      </c>
      <c r="H122">
        <v>1.2510484989999999</v>
      </c>
      <c r="I122">
        <v>10.59462984</v>
      </c>
      <c r="J122">
        <v>0.11808326700000001</v>
      </c>
      <c r="K122">
        <v>2.1011279563328551</v>
      </c>
      <c r="L122">
        <v>17.458068648506771</v>
      </c>
      <c r="M122">
        <v>11.472141542729929</v>
      </c>
      <c r="N122">
        <v>-0.87751170272993306</v>
      </c>
      <c r="O122">
        <v>1.3223794531100399</v>
      </c>
      <c r="P122">
        <v>-7.1330954110040423E-2</v>
      </c>
      <c r="Q122">
        <v>0.80618074861989264</v>
      </c>
      <c r="R122">
        <v>3.1</v>
      </c>
      <c r="S122">
        <v>465</v>
      </c>
      <c r="T122">
        <v>6</v>
      </c>
      <c r="U122">
        <v>370.97505668934241</v>
      </c>
      <c r="V122">
        <v>66.23</v>
      </c>
      <c r="W122">
        <v>1.778</v>
      </c>
      <c r="X122">
        <v>94.064328000000003</v>
      </c>
      <c r="Y122">
        <f t="shared" si="1"/>
        <v>31.858294899487706</v>
      </c>
    </row>
    <row r="123" spans="1:25" x14ac:dyDescent="0.25">
      <c r="A123" t="s">
        <v>181</v>
      </c>
      <c r="B123" t="s">
        <v>141</v>
      </c>
      <c r="D123">
        <v>555.48340929999995</v>
      </c>
      <c r="E123">
        <v>666.04932199999996</v>
      </c>
      <c r="F123">
        <v>610.7663656499999</v>
      </c>
      <c r="G123">
        <v>124.4152823</v>
      </c>
      <c r="H123">
        <v>1.755014487</v>
      </c>
      <c r="I123">
        <v>11.24121937</v>
      </c>
      <c r="J123">
        <v>0.15612314199999999</v>
      </c>
      <c r="K123">
        <v>2.4723757996577969</v>
      </c>
      <c r="L123">
        <v>15.40219891291925</v>
      </c>
      <c r="M123">
        <v>13.19311233590882</v>
      </c>
      <c r="N123">
        <v>-1.9518929659088169</v>
      </c>
      <c r="O123">
        <v>1.5676512844281201</v>
      </c>
      <c r="P123">
        <v>0.18736320257187991</v>
      </c>
      <c r="Q123">
        <v>2.139256168480697</v>
      </c>
      <c r="R123">
        <v>2.3199999999999998</v>
      </c>
      <c r="S123">
        <v>561</v>
      </c>
      <c r="T123">
        <v>7</v>
      </c>
      <c r="U123">
        <v>417.68707482993199</v>
      </c>
      <c r="V123">
        <v>66.5</v>
      </c>
      <c r="W123">
        <v>1.27</v>
      </c>
      <c r="X123">
        <v>106.45140000000001</v>
      </c>
      <c r="Y123">
        <f t="shared" si="1"/>
        <v>30.370609449442178</v>
      </c>
    </row>
    <row r="124" spans="1:25" x14ac:dyDescent="0.25">
      <c r="A124" t="s">
        <v>181</v>
      </c>
      <c r="B124" t="s">
        <v>142</v>
      </c>
      <c r="D124">
        <v>513.00557289999995</v>
      </c>
      <c r="E124">
        <v>605.24183436999999</v>
      </c>
      <c r="F124">
        <v>559.12370363499997</v>
      </c>
      <c r="G124">
        <v>117.0260646</v>
      </c>
      <c r="H124">
        <v>1.4640676420000001</v>
      </c>
      <c r="I124">
        <v>13.05307571</v>
      </c>
      <c r="J124">
        <v>0.112162656</v>
      </c>
      <c r="K124">
        <v>2.301304878742545</v>
      </c>
      <c r="L124">
        <v>19.999924152170891</v>
      </c>
      <c r="M124">
        <v>12.10374026039745</v>
      </c>
      <c r="N124">
        <v>0.94933544960254501</v>
      </c>
      <c r="O124">
        <v>1.55324946935626</v>
      </c>
      <c r="P124">
        <v>-8.918182735625968E-2</v>
      </c>
      <c r="Q124">
        <v>-1.0385172769588049</v>
      </c>
      <c r="R124">
        <v>3.67</v>
      </c>
      <c r="S124">
        <v>706</v>
      </c>
      <c r="T124">
        <v>8</v>
      </c>
      <c r="U124">
        <v>391.83673469387753</v>
      </c>
      <c r="V124">
        <v>66.510000000000005</v>
      </c>
      <c r="W124">
        <v>1.8795999999999999</v>
      </c>
      <c r="X124">
        <v>89.161112000000003</v>
      </c>
      <c r="Y124">
        <f t="shared" si="1"/>
        <v>34.707950017315923</v>
      </c>
    </row>
    <row r="125" spans="1:25" x14ac:dyDescent="0.25">
      <c r="A125" t="s">
        <v>181</v>
      </c>
      <c r="B125" t="s">
        <v>143</v>
      </c>
      <c r="D125">
        <v>507.48663790000001</v>
      </c>
      <c r="E125">
        <v>597.61231026999997</v>
      </c>
      <c r="F125">
        <v>552.54947408499993</v>
      </c>
      <c r="G125">
        <v>114.3572398</v>
      </c>
      <c r="H125">
        <v>1.430566228</v>
      </c>
      <c r="I125">
        <v>11.35542143</v>
      </c>
      <c r="J125">
        <v>0.12598090200000001</v>
      </c>
      <c r="K125">
        <v>2.7515877404391889</v>
      </c>
      <c r="L125">
        <v>19.259356582533719</v>
      </c>
      <c r="M125">
        <v>11.8275250440145</v>
      </c>
      <c r="N125">
        <v>-0.47210361401450379</v>
      </c>
      <c r="O125">
        <v>1.3879527076865801</v>
      </c>
      <c r="P125">
        <v>4.2613520313420139E-2</v>
      </c>
      <c r="Q125">
        <v>0.51471713432792399</v>
      </c>
      <c r="R125">
        <v>2.67</v>
      </c>
      <c r="S125">
        <v>477</v>
      </c>
      <c r="T125">
        <v>6</v>
      </c>
      <c r="U125">
        <v>373.69614512471657</v>
      </c>
      <c r="V125">
        <v>65.400000000000006</v>
      </c>
      <c r="W125">
        <v>1.4732000000000001</v>
      </c>
      <c r="X125">
        <v>96.838515999999998</v>
      </c>
      <c r="Y125">
        <f t="shared" si="1"/>
        <v>30.296954596035732</v>
      </c>
    </row>
    <row r="126" spans="1:25" x14ac:dyDescent="0.25">
      <c r="A126" t="s">
        <v>181</v>
      </c>
      <c r="B126" t="s">
        <v>144</v>
      </c>
      <c r="D126">
        <v>544.0662165</v>
      </c>
      <c r="E126">
        <v>633.29137085000002</v>
      </c>
      <c r="F126">
        <v>588.67879367499995</v>
      </c>
      <c r="G126">
        <v>121.0014771</v>
      </c>
      <c r="H126">
        <v>1.4162722910000001</v>
      </c>
      <c r="I126">
        <v>12.217492379999999</v>
      </c>
      <c r="J126">
        <v>0.115921684</v>
      </c>
      <c r="K126">
        <v>2.8868564575957549</v>
      </c>
      <c r="L126">
        <v>19.104328121987859</v>
      </c>
      <c r="M126">
        <v>12.355166570958289</v>
      </c>
      <c r="N126">
        <v>-0.1376741909582879</v>
      </c>
      <c r="O126">
        <v>1.57047236800398</v>
      </c>
      <c r="P126">
        <v>-0.1542000770039802</v>
      </c>
      <c r="Q126">
        <v>-1.6525886045692269E-2</v>
      </c>
      <c r="R126">
        <v>4.28</v>
      </c>
      <c r="S126">
        <v>659</v>
      </c>
      <c r="T126">
        <v>8</v>
      </c>
      <c r="U126">
        <v>392.7437641723356</v>
      </c>
      <c r="V126">
        <v>63.07</v>
      </c>
      <c r="W126">
        <v>1.905</v>
      </c>
      <c r="X126">
        <v>77.354684000000006</v>
      </c>
      <c r="Y126">
        <f t="shared" si="1"/>
        <v>35.641905955791927</v>
      </c>
    </row>
    <row r="127" spans="1:25" x14ac:dyDescent="0.25">
      <c r="A127" t="s">
        <v>181</v>
      </c>
      <c r="B127" t="s">
        <v>145</v>
      </c>
      <c r="D127">
        <v>569.15702169999997</v>
      </c>
      <c r="E127">
        <v>689.98473019999994</v>
      </c>
      <c r="F127">
        <v>629.57087594999996</v>
      </c>
      <c r="G127">
        <v>127.0643436</v>
      </c>
      <c r="H127">
        <v>1.917900135</v>
      </c>
      <c r="I127">
        <v>15.20444064</v>
      </c>
      <c r="J127">
        <v>0.126140789</v>
      </c>
      <c r="K127">
        <v>3.1980448780798341</v>
      </c>
      <c r="L127">
        <v>16.038762092480731</v>
      </c>
      <c r="M127">
        <v>13.679602723465379</v>
      </c>
      <c r="N127">
        <v>1.52483791653462</v>
      </c>
      <c r="O127">
        <v>1.8867877569626399</v>
      </c>
      <c r="P127">
        <v>3.1112378037360111E-2</v>
      </c>
      <c r="Q127">
        <v>-1.4937255384972601</v>
      </c>
      <c r="R127">
        <v>3.45</v>
      </c>
      <c r="S127">
        <v>549</v>
      </c>
      <c r="T127">
        <v>7</v>
      </c>
      <c r="U127">
        <v>427.66439909297048</v>
      </c>
      <c r="V127">
        <v>65.709999999999994</v>
      </c>
      <c r="W127">
        <v>1.4732000000000001</v>
      </c>
      <c r="X127">
        <v>89.35466000000001</v>
      </c>
      <c r="Y127">
        <f t="shared" si="1"/>
        <v>32.670646769958267</v>
      </c>
    </row>
    <row r="128" spans="1:25" x14ac:dyDescent="0.25">
      <c r="A128" t="s">
        <v>181</v>
      </c>
      <c r="B128" t="s">
        <v>146</v>
      </c>
      <c r="D128">
        <v>511.03659579999999</v>
      </c>
      <c r="E128">
        <v>614.37455599999998</v>
      </c>
      <c r="F128">
        <v>562.70557589999999</v>
      </c>
      <c r="G128">
        <v>121.0884002</v>
      </c>
      <c r="H128">
        <v>1.6402850819999999</v>
      </c>
      <c r="I128">
        <v>13.79136302</v>
      </c>
      <c r="J128">
        <v>0.118935676</v>
      </c>
      <c r="K128">
        <v>2.5639909188150969</v>
      </c>
      <c r="L128">
        <v>16.33264897475323</v>
      </c>
      <c r="M128">
        <v>12.729279094072581</v>
      </c>
      <c r="N128">
        <v>1.0620839259274251</v>
      </c>
      <c r="O128">
        <v>1.6792196066471201</v>
      </c>
      <c r="P128">
        <v>-3.8934524647119988E-2</v>
      </c>
      <c r="Q128">
        <v>-1.1010184505745451</v>
      </c>
      <c r="R128">
        <v>3.16</v>
      </c>
      <c r="S128">
        <v>770</v>
      </c>
      <c r="T128">
        <v>8</v>
      </c>
      <c r="U128">
        <v>391.83673469387753</v>
      </c>
      <c r="V128">
        <v>65.5</v>
      </c>
      <c r="W128">
        <v>1.905</v>
      </c>
      <c r="X128">
        <v>99.354640000000003</v>
      </c>
      <c r="Y128">
        <f t="shared" si="1"/>
        <v>34.138387204195915</v>
      </c>
    </row>
    <row r="129" spans="1:25" x14ac:dyDescent="0.25">
      <c r="A129" t="s">
        <v>181</v>
      </c>
      <c r="B129" t="s">
        <v>147</v>
      </c>
      <c r="D129">
        <v>525.38172710000003</v>
      </c>
      <c r="E129">
        <v>613.0837396500001</v>
      </c>
      <c r="F129">
        <v>569.23273337500007</v>
      </c>
      <c r="G129">
        <v>119.3513856</v>
      </c>
      <c r="H129">
        <v>1.392095437</v>
      </c>
      <c r="I129">
        <v>12.768375239999999</v>
      </c>
      <c r="J129">
        <v>0.10902682700000001</v>
      </c>
      <c r="K129">
        <v>2.0341751399185029</v>
      </c>
      <c r="L129">
        <v>14.04785777069317</v>
      </c>
      <c r="M129">
        <v>12.17871443671552</v>
      </c>
      <c r="N129">
        <v>0.58966080328448278</v>
      </c>
      <c r="O129">
        <v>1.57721270528424</v>
      </c>
      <c r="P129">
        <v>-0.18511726828423969</v>
      </c>
      <c r="Q129">
        <v>-0.77477807156872247</v>
      </c>
      <c r="R129">
        <v>3.6</v>
      </c>
      <c r="S129">
        <v>657</v>
      </c>
      <c r="T129">
        <v>7</v>
      </c>
      <c r="U129">
        <v>394.55782312925169</v>
      </c>
      <c r="V129">
        <v>66.62</v>
      </c>
      <c r="W129">
        <v>1.9812000000000001</v>
      </c>
      <c r="X129">
        <v>92.774007999999995</v>
      </c>
      <c r="Y129">
        <f t="shared" si="1"/>
        <v>34.173942463543945</v>
      </c>
    </row>
    <row r="130" spans="1:25" x14ac:dyDescent="0.25">
      <c r="A130" t="s">
        <v>181</v>
      </c>
      <c r="B130" t="s">
        <v>148</v>
      </c>
      <c r="D130">
        <v>515.67296729999998</v>
      </c>
      <c r="E130">
        <v>589.87072722999994</v>
      </c>
      <c r="F130">
        <v>552.77184726499991</v>
      </c>
      <c r="G130">
        <v>119.6259135</v>
      </c>
      <c r="H130">
        <v>1.1777422209999999</v>
      </c>
      <c r="I130">
        <v>11.469709999999999</v>
      </c>
      <c r="J130">
        <v>0.10268282500000001</v>
      </c>
      <c r="K130">
        <v>3.379181759129263</v>
      </c>
      <c r="L130">
        <v>22.46788528005165</v>
      </c>
      <c r="M130">
        <v>11.85040068397433</v>
      </c>
      <c r="N130">
        <v>-0.38069068397432743</v>
      </c>
      <c r="O130">
        <v>1.4939346825865001</v>
      </c>
      <c r="P130">
        <v>-0.31619246158650022</v>
      </c>
      <c r="Q130">
        <v>6.4498222387827209E-2</v>
      </c>
    </row>
    <row r="131" spans="1:25" x14ac:dyDescent="0.25">
      <c r="A131" t="s">
        <v>181</v>
      </c>
      <c r="B131" t="s">
        <v>149</v>
      </c>
      <c r="D131">
        <v>521.48677269999996</v>
      </c>
      <c r="E131">
        <v>647.65427169999998</v>
      </c>
      <c r="F131">
        <v>584.57052219999991</v>
      </c>
      <c r="G131">
        <v>120.60603759999999</v>
      </c>
      <c r="H131">
        <v>2.0026587139999998</v>
      </c>
      <c r="I131">
        <v>12.91622508</v>
      </c>
      <c r="J131">
        <v>0.15504984599999999</v>
      </c>
      <c r="K131">
        <v>2.1755185255065732</v>
      </c>
      <c r="L131">
        <v>13.46508057173495</v>
      </c>
      <c r="M131">
        <v>13.28279356301295</v>
      </c>
      <c r="N131">
        <v>-0.36656848301295142</v>
      </c>
      <c r="O131">
        <v>1.6106617111216801</v>
      </c>
      <c r="P131">
        <v>0.39199700287832018</v>
      </c>
      <c r="Q131">
        <v>0.7585654858912716</v>
      </c>
      <c r="R131">
        <v>3.31</v>
      </c>
      <c r="S131">
        <v>589</v>
      </c>
      <c r="T131">
        <v>7</v>
      </c>
      <c r="U131">
        <v>383.67346938775506</v>
      </c>
      <c r="V131">
        <v>65.58</v>
      </c>
      <c r="W131">
        <v>1.397</v>
      </c>
      <c r="X131">
        <v>85.032088000000016</v>
      </c>
      <c r="Y131">
        <f t="shared" ref="Y131:Y151" si="2">17.76107+(4.68142*W131)+(0.01945*U131)+(0.81855*T131)-(0.06754*X131)</f>
        <v>31.750245496071834</v>
      </c>
    </row>
    <row r="132" spans="1:25" x14ac:dyDescent="0.25">
      <c r="A132" t="s">
        <v>181</v>
      </c>
      <c r="B132" t="s">
        <v>150</v>
      </c>
      <c r="D132">
        <v>494.8628286</v>
      </c>
      <c r="E132">
        <v>582.06885270999999</v>
      </c>
      <c r="F132">
        <v>538.46584065499997</v>
      </c>
      <c r="G132">
        <v>113.8813802</v>
      </c>
      <c r="H132">
        <v>1.3842226049999999</v>
      </c>
      <c r="I132">
        <v>11.93994444</v>
      </c>
      <c r="J132">
        <v>0.11593208100000001</v>
      </c>
      <c r="K132">
        <v>2.4944497394200318</v>
      </c>
      <c r="L132">
        <v>17.184256134579979</v>
      </c>
      <c r="M132">
        <v>11.71215393925354</v>
      </c>
      <c r="N132">
        <v>0.22779050074646179</v>
      </c>
      <c r="O132">
        <v>1.41886930380084</v>
      </c>
      <c r="P132">
        <v>-3.4646698800840037E-2</v>
      </c>
      <c r="Q132">
        <v>-0.26243719954730182</v>
      </c>
      <c r="R132">
        <v>3</v>
      </c>
      <c r="S132">
        <v>642</v>
      </c>
      <c r="T132">
        <v>7</v>
      </c>
      <c r="U132">
        <v>375.51020408163265</v>
      </c>
      <c r="V132">
        <v>64.64</v>
      </c>
      <c r="W132">
        <v>1.4985999999999999</v>
      </c>
      <c r="X132">
        <v>91.677236000000008</v>
      </c>
      <c r="Y132">
        <f t="shared" si="2"/>
        <v>31.618288961947751</v>
      </c>
    </row>
    <row r="133" spans="1:25" x14ac:dyDescent="0.25">
      <c r="A133" t="s">
        <v>181</v>
      </c>
      <c r="B133" t="s">
        <v>151</v>
      </c>
      <c r="D133">
        <v>527.96611419999999</v>
      </c>
      <c r="E133">
        <v>604.18652201999998</v>
      </c>
      <c r="F133">
        <v>566.07631810999999</v>
      </c>
      <c r="G133">
        <v>115.9361023</v>
      </c>
      <c r="H133">
        <v>1.2098477430000001</v>
      </c>
      <c r="I133">
        <v>12.20342333</v>
      </c>
      <c r="J133">
        <v>9.9140029000000005E-2</v>
      </c>
      <c r="K133">
        <v>3.3467326431278641</v>
      </c>
      <c r="L133">
        <v>19.820104635452971</v>
      </c>
      <c r="M133">
        <v>11.59696341958702</v>
      </c>
      <c r="N133">
        <v>0.6064599104129762</v>
      </c>
      <c r="O133">
        <v>1.47510122314948</v>
      </c>
      <c r="P133">
        <v>-0.26525348014947969</v>
      </c>
      <c r="Q133">
        <v>-0.87171339056245589</v>
      </c>
      <c r="R133">
        <v>4.33</v>
      </c>
      <c r="S133">
        <v>636</v>
      </c>
      <c r="T133">
        <v>7</v>
      </c>
      <c r="U133">
        <v>392.7437641723356</v>
      </c>
      <c r="V133">
        <v>66.459999999999994</v>
      </c>
      <c r="W133">
        <v>2.4891999999999999</v>
      </c>
      <c r="X133">
        <v>87.677244000000002</v>
      </c>
      <c r="Y133">
        <f t="shared" si="2"/>
        <v>36.861055817391922</v>
      </c>
    </row>
    <row r="134" spans="1:25" x14ac:dyDescent="0.25">
      <c r="A134" t="s">
        <v>181</v>
      </c>
      <c r="B134" t="s">
        <v>152</v>
      </c>
      <c r="D134">
        <v>502.24754619999999</v>
      </c>
      <c r="E134">
        <v>565.29084272</v>
      </c>
      <c r="F134">
        <v>533.76919445999999</v>
      </c>
      <c r="G134">
        <v>112.9714464</v>
      </c>
      <c r="H134">
        <v>1.000687246</v>
      </c>
      <c r="I134">
        <v>12.532483490000001</v>
      </c>
      <c r="J134">
        <v>7.9847481999999997E-2</v>
      </c>
      <c r="K134">
        <v>2.7494027556429592</v>
      </c>
      <c r="L134">
        <v>17.541176212508859</v>
      </c>
      <c r="M134">
        <v>11.00850646830833</v>
      </c>
      <c r="N134">
        <v>1.523977021691673</v>
      </c>
      <c r="O134">
        <v>1.44224081067994</v>
      </c>
      <c r="P134">
        <v>-0.44155356467994</v>
      </c>
      <c r="Q134">
        <v>-1.965530586371613</v>
      </c>
    </row>
    <row r="135" spans="1:25" x14ac:dyDescent="0.25">
      <c r="A135" t="s">
        <v>181</v>
      </c>
      <c r="B135" t="s">
        <v>153</v>
      </c>
      <c r="D135">
        <v>502.92170099999998</v>
      </c>
      <c r="E135">
        <v>583.97906940999997</v>
      </c>
      <c r="F135">
        <v>543.45038520499998</v>
      </c>
      <c r="G135">
        <v>111.9371682</v>
      </c>
      <c r="H135">
        <v>1.2866248950000001</v>
      </c>
      <c r="I135">
        <v>10.062569999999999</v>
      </c>
      <c r="J135">
        <v>0.12786245399999999</v>
      </c>
      <c r="K135">
        <v>2.838216179370741</v>
      </c>
      <c r="L135">
        <v>25.838892956997821</v>
      </c>
      <c r="M135">
        <v>11.39105466252726</v>
      </c>
      <c r="N135">
        <v>-1.3284846625272611</v>
      </c>
      <c r="O135">
        <v>1.2548457676997999</v>
      </c>
      <c r="P135">
        <v>3.1779127300199939E-2</v>
      </c>
      <c r="Q135">
        <v>1.360263789827461</v>
      </c>
      <c r="R135">
        <v>3.37</v>
      </c>
      <c r="S135">
        <v>695</v>
      </c>
      <c r="T135">
        <v>7</v>
      </c>
      <c r="U135">
        <v>355.55555555555554</v>
      </c>
      <c r="V135">
        <v>62.67</v>
      </c>
      <c r="W135">
        <v>1.6255999999999999</v>
      </c>
      <c r="X135">
        <v>84.06434800000001</v>
      </c>
      <c r="Y135">
        <f t="shared" si="2"/>
        <v>32.338885843635552</v>
      </c>
    </row>
    <row r="136" spans="1:25" x14ac:dyDescent="0.25">
      <c r="A136" t="s">
        <v>181</v>
      </c>
      <c r="B136" t="s">
        <v>154</v>
      </c>
      <c r="D136">
        <v>509.80495780000001</v>
      </c>
      <c r="E136">
        <v>605.93173851999995</v>
      </c>
      <c r="F136">
        <v>557.86834815999998</v>
      </c>
      <c r="G136">
        <v>116.1956632</v>
      </c>
      <c r="H136">
        <v>1.5258219159999999</v>
      </c>
      <c r="I136">
        <v>13.614557140000001</v>
      </c>
      <c r="J136">
        <v>0.112072828</v>
      </c>
      <c r="K136">
        <v>2.1942336089033669</v>
      </c>
      <c r="L136">
        <v>12.38645269887026</v>
      </c>
      <c r="M136">
        <v>12.13601460873349</v>
      </c>
      <c r="N136">
        <v>1.478542531266513</v>
      </c>
      <c r="O136">
        <v>1.5759894126760401</v>
      </c>
      <c r="P136">
        <v>-5.0167496676039917E-2</v>
      </c>
      <c r="Q136">
        <v>-1.528710027942553</v>
      </c>
      <c r="R136">
        <v>3.86</v>
      </c>
      <c r="S136">
        <v>629</v>
      </c>
      <c r="T136">
        <v>7</v>
      </c>
      <c r="U136">
        <v>354.64852607709747</v>
      </c>
      <c r="V136">
        <v>63.22</v>
      </c>
      <c r="W136">
        <v>2.1589999999999998</v>
      </c>
      <c r="X136">
        <v>83.67725200000001</v>
      </c>
      <c r="Y136">
        <f t="shared" si="2"/>
        <v>34.844458012119546</v>
      </c>
    </row>
    <row r="137" spans="1:25" x14ac:dyDescent="0.25">
      <c r="A137" t="s">
        <v>181</v>
      </c>
      <c r="B137" t="s">
        <v>155</v>
      </c>
      <c r="D137">
        <v>529.83268569999996</v>
      </c>
      <c r="E137">
        <v>617.04222744999993</v>
      </c>
      <c r="F137">
        <v>573.43745657499994</v>
      </c>
      <c r="G137">
        <v>118.33417710000001</v>
      </c>
      <c r="H137">
        <v>1.384278441</v>
      </c>
      <c r="I137">
        <v>10.950425709999999</v>
      </c>
      <c r="J137">
        <v>0.126413208</v>
      </c>
      <c r="K137">
        <v>2.136577643603772</v>
      </c>
      <c r="L137">
        <v>15.202319139304111</v>
      </c>
      <c r="M137">
        <v>12.08154700774649</v>
      </c>
      <c r="N137">
        <v>-1.1311212977464871</v>
      </c>
      <c r="O137">
        <v>1.43451240334376</v>
      </c>
      <c r="P137">
        <v>-5.0233962343760208E-2</v>
      </c>
      <c r="Q137">
        <v>1.0808873354027271</v>
      </c>
    </row>
    <row r="138" spans="1:25" x14ac:dyDescent="0.25">
      <c r="A138" t="s">
        <v>181</v>
      </c>
      <c r="B138" t="s">
        <v>156</v>
      </c>
      <c r="D138">
        <v>509.31315339999998</v>
      </c>
      <c r="E138">
        <v>618.77533959999994</v>
      </c>
      <c r="F138">
        <v>564.04424649999999</v>
      </c>
      <c r="G138">
        <v>116.1686649</v>
      </c>
      <c r="H138">
        <v>1.737495019</v>
      </c>
      <c r="I138">
        <v>14.12990286</v>
      </c>
      <c r="J138">
        <v>0.12296581500000001</v>
      </c>
      <c r="K138">
        <v>2.2349429003217138</v>
      </c>
      <c r="L138">
        <v>14.37509289994146</v>
      </c>
      <c r="M138">
        <v>12.480468052590791</v>
      </c>
      <c r="N138">
        <v>1.6494348074092089</v>
      </c>
      <c r="O138">
        <v>1.61056371313986</v>
      </c>
      <c r="P138">
        <v>0.12693130586014001</v>
      </c>
      <c r="Q138">
        <v>-1.5225035015490691</v>
      </c>
      <c r="R138">
        <v>3.44</v>
      </c>
      <c r="S138">
        <v>747</v>
      </c>
      <c r="T138">
        <v>8</v>
      </c>
      <c r="U138">
        <v>365.07936507936506</v>
      </c>
      <c r="V138">
        <v>64.09</v>
      </c>
      <c r="W138">
        <v>2.1844000000000001</v>
      </c>
      <c r="X138">
        <v>95.096583999999993</v>
      </c>
      <c r="Y138">
        <f t="shared" si="2"/>
        <v>35.213534215433654</v>
      </c>
    </row>
    <row r="139" spans="1:25" x14ac:dyDescent="0.25">
      <c r="A139" t="s">
        <v>181</v>
      </c>
      <c r="B139" t="s">
        <v>157</v>
      </c>
      <c r="D139">
        <v>561.07327659999999</v>
      </c>
      <c r="E139">
        <v>650.05877750000002</v>
      </c>
      <c r="F139">
        <v>605.56602705</v>
      </c>
      <c r="G139">
        <v>121.33496049999999</v>
      </c>
      <c r="H139">
        <v>1.412468268</v>
      </c>
      <c r="I139">
        <v>11.002328410000001</v>
      </c>
      <c r="J139">
        <v>0.128379032</v>
      </c>
      <c r="K139">
        <v>2.6625133170576381</v>
      </c>
      <c r="L139">
        <v>19.633754019705378</v>
      </c>
      <c r="M139">
        <v>12.37659419616112</v>
      </c>
      <c r="N139">
        <v>-1.3742657861611229</v>
      </c>
      <c r="O139">
        <v>1.49397681431456</v>
      </c>
      <c r="P139">
        <v>-8.1508546314559727E-2</v>
      </c>
      <c r="Q139">
        <v>1.292757239846563</v>
      </c>
      <c r="R139">
        <v>2.97</v>
      </c>
      <c r="S139">
        <v>458</v>
      </c>
      <c r="T139">
        <v>6</v>
      </c>
      <c r="U139">
        <v>413.60544217687072</v>
      </c>
      <c r="V139">
        <v>66.28</v>
      </c>
      <c r="W139">
        <v>1.4478</v>
      </c>
      <c r="X139">
        <v>96.064323999999999</v>
      </c>
      <c r="Y139">
        <f t="shared" si="2"/>
        <v>31.006571283380129</v>
      </c>
    </row>
    <row r="140" spans="1:25" x14ac:dyDescent="0.25">
      <c r="A140" t="s">
        <v>181</v>
      </c>
      <c r="B140" t="s">
        <v>158</v>
      </c>
      <c r="D140">
        <v>526.15585129999999</v>
      </c>
      <c r="E140">
        <v>601.03955268999994</v>
      </c>
      <c r="F140">
        <v>563.59770199499997</v>
      </c>
      <c r="G140">
        <v>116.7560738</v>
      </c>
      <c r="H140">
        <v>1.188630181</v>
      </c>
      <c r="I140">
        <v>12.34271508</v>
      </c>
      <c r="J140">
        <v>9.6302164999999995E-2</v>
      </c>
      <c r="K140">
        <v>3.23509630778039</v>
      </c>
      <c r="L140">
        <v>20.28258581885666</v>
      </c>
      <c r="M140">
        <v>11.63021783004471</v>
      </c>
      <c r="N140">
        <v>0.71249724995529107</v>
      </c>
      <c r="O140">
        <v>1.49986570419348</v>
      </c>
      <c r="P140">
        <v>-0.3112355231934798</v>
      </c>
      <c r="Q140">
        <v>-1.0237327731487711</v>
      </c>
      <c r="R140">
        <v>3.54</v>
      </c>
      <c r="S140">
        <v>753</v>
      </c>
      <c r="T140">
        <v>8</v>
      </c>
      <c r="U140">
        <v>380.95238095238096</v>
      </c>
      <c r="V140">
        <v>64.62</v>
      </c>
      <c r="W140">
        <v>1.8795999999999999</v>
      </c>
      <c r="X140">
        <v>89.99982</v>
      </c>
      <c r="Y140">
        <f t="shared" si="2"/>
        <v>34.439602998723814</v>
      </c>
    </row>
    <row r="141" spans="1:25" x14ac:dyDescent="0.25">
      <c r="A141" t="s">
        <v>181</v>
      </c>
      <c r="B141" t="s">
        <v>159</v>
      </c>
      <c r="D141">
        <v>541.14533830000005</v>
      </c>
      <c r="E141">
        <v>620.64433587000008</v>
      </c>
      <c r="F141">
        <v>580.89483708500006</v>
      </c>
      <c r="G141">
        <v>119.6416086</v>
      </c>
      <c r="H141">
        <v>1.2618888500000001</v>
      </c>
      <c r="I141">
        <v>11.46536603</v>
      </c>
      <c r="J141">
        <v>0.11006093</v>
      </c>
      <c r="K141">
        <v>2.30157676329542</v>
      </c>
      <c r="L141">
        <v>15.587653941960401</v>
      </c>
      <c r="M141">
        <v>11.98952345943</v>
      </c>
      <c r="N141">
        <v>-0.52415742942999977</v>
      </c>
      <c r="O141">
        <v>1.49393154689338</v>
      </c>
      <c r="P141">
        <v>-0.23204269689337981</v>
      </c>
      <c r="Q141">
        <v>0.29211473253662001</v>
      </c>
      <c r="R141">
        <v>2.97</v>
      </c>
      <c r="S141">
        <v>730</v>
      </c>
      <c r="T141">
        <v>8</v>
      </c>
      <c r="U141">
        <v>370.97505668934241</v>
      </c>
      <c r="V141">
        <v>61.97</v>
      </c>
      <c r="W141">
        <v>1.3715999999999999</v>
      </c>
      <c r="X141">
        <v>89.161112000000003</v>
      </c>
      <c r="Y141">
        <f t="shared" si="2"/>
        <v>31.924029020127708</v>
      </c>
    </row>
    <row r="142" spans="1:25" x14ac:dyDescent="0.25">
      <c r="A142" t="s">
        <v>181</v>
      </c>
      <c r="B142" t="s">
        <v>160</v>
      </c>
      <c r="D142">
        <v>517.71686450000004</v>
      </c>
      <c r="E142">
        <v>592.50558938000006</v>
      </c>
      <c r="F142">
        <v>555.11122694000005</v>
      </c>
      <c r="G142">
        <v>118.63987469999999</v>
      </c>
      <c r="H142">
        <v>1.187122617</v>
      </c>
      <c r="I142">
        <v>12.34376</v>
      </c>
      <c r="J142">
        <v>9.6171881000000001E-2</v>
      </c>
      <c r="K142">
        <v>2.7277831792453728</v>
      </c>
      <c r="L142">
        <v>21.648775305569242</v>
      </c>
      <c r="M142">
        <v>11.783985434454451</v>
      </c>
      <c r="N142">
        <v>0.5597745655455455</v>
      </c>
      <c r="O142">
        <v>1.5350489926933</v>
      </c>
      <c r="P142">
        <v>-0.34792637569329982</v>
      </c>
      <c r="Q142">
        <v>-0.90770094123884526</v>
      </c>
      <c r="R142">
        <v>3.27</v>
      </c>
      <c r="S142">
        <v>575</v>
      </c>
      <c r="T142">
        <v>7</v>
      </c>
      <c r="U142">
        <v>380.95238095238096</v>
      </c>
      <c r="V142">
        <v>65.63</v>
      </c>
      <c r="W142">
        <v>1.7272000000000001</v>
      </c>
      <c r="X142">
        <v>91.677236000000008</v>
      </c>
      <c r="Y142">
        <f t="shared" si="2"/>
        <v>32.794311914083814</v>
      </c>
    </row>
    <row r="143" spans="1:25" x14ac:dyDescent="0.25">
      <c r="A143" t="s">
        <v>181</v>
      </c>
      <c r="B143" t="s">
        <v>161</v>
      </c>
      <c r="D143">
        <v>524.67695830000002</v>
      </c>
      <c r="E143">
        <v>610.85934669000005</v>
      </c>
      <c r="F143">
        <v>567.76815249500009</v>
      </c>
      <c r="G143">
        <v>115.5957858</v>
      </c>
      <c r="H143">
        <v>1.3679744190000001</v>
      </c>
      <c r="I143">
        <v>10.687307779999999</v>
      </c>
      <c r="J143">
        <v>0.127999909</v>
      </c>
      <c r="K143">
        <v>3.021895688964614</v>
      </c>
      <c r="L143">
        <v>20.245868253666689</v>
      </c>
      <c r="M143">
        <v>11.82772921259329</v>
      </c>
      <c r="N143">
        <v>-1.1404214325932911</v>
      </c>
      <c r="O143">
        <v>1.36556214287968</v>
      </c>
      <c r="P143">
        <v>2.4122761203202452E-3</v>
      </c>
      <c r="Q143">
        <v>1.1428337087136109</v>
      </c>
      <c r="R143">
        <v>3.22</v>
      </c>
      <c r="S143">
        <v>748</v>
      </c>
      <c r="T143">
        <v>8</v>
      </c>
      <c r="U143">
        <v>368.70748299319729</v>
      </c>
      <c r="V143">
        <v>64.02</v>
      </c>
      <c r="W143">
        <v>1.4732000000000001</v>
      </c>
      <c r="X143">
        <v>85.806279999999987</v>
      </c>
      <c r="Y143">
        <f t="shared" si="2"/>
        <v>32.582142337017693</v>
      </c>
    </row>
    <row r="144" spans="1:25" x14ac:dyDescent="0.25">
      <c r="A144" t="s">
        <v>181</v>
      </c>
      <c r="B144" t="s">
        <v>162</v>
      </c>
      <c r="D144">
        <v>499.53585609999999</v>
      </c>
      <c r="E144">
        <v>575.69294624999998</v>
      </c>
      <c r="F144">
        <v>537.61440117500001</v>
      </c>
      <c r="G144">
        <v>112.64915569999999</v>
      </c>
      <c r="H144">
        <v>1.208842701</v>
      </c>
      <c r="I144">
        <v>10.877325239999999</v>
      </c>
      <c r="J144">
        <v>0.111134187</v>
      </c>
      <c r="K144">
        <v>2.6648635554016238</v>
      </c>
      <c r="L144">
        <v>21.186700936078111</v>
      </c>
      <c r="M144">
        <v>11.322707803292371</v>
      </c>
      <c r="N144">
        <v>-0.44538256329236781</v>
      </c>
      <c r="O144">
        <v>1.32357363287814</v>
      </c>
      <c r="P144">
        <v>-0.11473093187813981</v>
      </c>
      <c r="Q144">
        <v>0.33065163141422799</v>
      </c>
      <c r="R144">
        <v>3.87</v>
      </c>
      <c r="S144">
        <v>669</v>
      </c>
      <c r="T144">
        <v>7</v>
      </c>
      <c r="U144">
        <v>356.91609977324259</v>
      </c>
      <c r="V144">
        <v>65.47</v>
      </c>
      <c r="W144">
        <v>1.9558</v>
      </c>
      <c r="X144">
        <v>80.064356000000004</v>
      </c>
      <c r="Y144">
        <f t="shared" si="2"/>
        <v>34.181312772349571</v>
      </c>
    </row>
    <row r="145" spans="1:25" x14ac:dyDescent="0.25">
      <c r="A145" t="s">
        <v>181</v>
      </c>
      <c r="B145" t="s">
        <v>163</v>
      </c>
      <c r="D145">
        <v>513.97167290000004</v>
      </c>
      <c r="E145">
        <v>633.76871040000003</v>
      </c>
      <c r="F145">
        <v>573.87019165000004</v>
      </c>
      <c r="G145">
        <v>117.8269624</v>
      </c>
      <c r="H145">
        <v>1.9015402779999999</v>
      </c>
      <c r="I145">
        <v>11.14024238</v>
      </c>
      <c r="J145">
        <v>0.17069110500000001</v>
      </c>
      <c r="K145">
        <v>2.1987029055027092</v>
      </c>
      <c r="L145">
        <v>13.891263144571599</v>
      </c>
      <c r="M145">
        <v>12.8866867526161</v>
      </c>
      <c r="N145">
        <v>-1.7464443726161041</v>
      </c>
      <c r="O145">
        <v>1.43797849001068</v>
      </c>
      <c r="P145">
        <v>0.46356178798932007</v>
      </c>
      <c r="Q145">
        <v>2.210006160605424</v>
      </c>
      <c r="R145">
        <v>3.08</v>
      </c>
      <c r="S145">
        <v>769</v>
      </c>
      <c r="T145">
        <v>8</v>
      </c>
      <c r="U145">
        <v>387.75510204081633</v>
      </c>
      <c r="V145">
        <v>63.57</v>
      </c>
      <c r="W145">
        <v>1.397</v>
      </c>
      <c r="X145">
        <v>90.774011999999999</v>
      </c>
      <c r="Y145">
        <f t="shared" si="2"/>
        <v>32.260373704213876</v>
      </c>
    </row>
    <row r="146" spans="1:25" x14ac:dyDescent="0.25">
      <c r="A146" t="s">
        <v>181</v>
      </c>
      <c r="B146" t="s">
        <v>164</v>
      </c>
      <c r="D146">
        <v>576.19214729999999</v>
      </c>
      <c r="E146">
        <v>709.47584919999997</v>
      </c>
      <c r="F146">
        <v>642.83399824999992</v>
      </c>
      <c r="G146">
        <v>131.21734559999999</v>
      </c>
      <c r="H146">
        <v>2.1156143159999998</v>
      </c>
      <c r="I146">
        <v>14.236242219999999</v>
      </c>
      <c r="J146">
        <v>0.14860763699999999</v>
      </c>
      <c r="K146">
        <v>2.60552683984168</v>
      </c>
      <c r="L146">
        <v>13.25468003250471</v>
      </c>
      <c r="M146">
        <v>14.347869980545489</v>
      </c>
      <c r="N146">
        <v>-0.1116277605454883</v>
      </c>
      <c r="O146">
        <v>1.8982941675849201</v>
      </c>
      <c r="P146">
        <v>0.21732014841508021</v>
      </c>
      <c r="Q146">
        <v>0.32894790896056852</v>
      </c>
      <c r="R146">
        <v>3.17</v>
      </c>
      <c r="S146">
        <v>553</v>
      </c>
      <c r="T146">
        <v>7</v>
      </c>
      <c r="U146">
        <v>429.47845804988663</v>
      </c>
      <c r="V146">
        <v>65.45</v>
      </c>
      <c r="W146">
        <v>1.3715999999999999</v>
      </c>
      <c r="X146">
        <v>93.419167999999999</v>
      </c>
      <c r="Y146">
        <f t="shared" si="2"/>
        <v>31.955781074350295</v>
      </c>
    </row>
    <row r="147" spans="1:25" x14ac:dyDescent="0.25">
      <c r="A147" t="s">
        <v>181</v>
      </c>
      <c r="B147" t="s">
        <v>165</v>
      </c>
      <c r="D147">
        <v>479.25742350000002</v>
      </c>
      <c r="E147">
        <v>562.57996365999998</v>
      </c>
      <c r="F147">
        <v>520.91869357999997</v>
      </c>
      <c r="G147">
        <v>110.55562500000001</v>
      </c>
      <c r="H147">
        <v>1.3225800029999999</v>
      </c>
      <c r="I147">
        <v>11.30399841</v>
      </c>
      <c r="J147">
        <v>0.11700107799999999</v>
      </c>
      <c r="K147">
        <v>1.8020744762376331</v>
      </c>
      <c r="L147">
        <v>13.243545145077711</v>
      </c>
      <c r="M147">
        <v>11.335363334978609</v>
      </c>
      <c r="N147">
        <v>-3.1364924978605657E-2</v>
      </c>
      <c r="O147">
        <v>1.3135942501500599</v>
      </c>
      <c r="P147">
        <v>8.9857528499397432E-3</v>
      </c>
      <c r="Q147">
        <v>4.03506778285454E-2</v>
      </c>
      <c r="R147">
        <v>3.9</v>
      </c>
      <c r="S147">
        <v>606</v>
      </c>
      <c r="T147">
        <v>7</v>
      </c>
      <c r="U147">
        <v>365.5328798185941</v>
      </c>
      <c r="V147">
        <v>68.13</v>
      </c>
      <c r="W147">
        <v>2.2098</v>
      </c>
      <c r="X147">
        <v>86.580471999999986</v>
      </c>
      <c r="Y147">
        <f t="shared" si="2"/>
        <v>35.097891349591656</v>
      </c>
    </row>
    <row r="148" spans="1:25" x14ac:dyDescent="0.25">
      <c r="A148" t="s">
        <v>181</v>
      </c>
      <c r="B148" t="s">
        <v>166</v>
      </c>
      <c r="D148">
        <v>529.13718310000002</v>
      </c>
      <c r="E148">
        <v>635.13549569999998</v>
      </c>
      <c r="F148">
        <v>582.1363394</v>
      </c>
      <c r="G148">
        <v>119.8032046</v>
      </c>
      <c r="H148">
        <v>1.6825128979999999</v>
      </c>
      <c r="I148">
        <v>12.67192603</v>
      </c>
      <c r="J148">
        <v>0.13277483600000001</v>
      </c>
      <c r="K148">
        <v>2.3527908918090672</v>
      </c>
      <c r="L148">
        <v>14.107244135272721</v>
      </c>
      <c r="M148">
        <v>12.69185241513166</v>
      </c>
      <c r="N148">
        <v>-1.9926385131663341E-2</v>
      </c>
      <c r="O148">
        <v>1.57906924769738</v>
      </c>
      <c r="P148">
        <v>0.1034436503026199</v>
      </c>
      <c r="Q148">
        <v>0.12337003543428331</v>
      </c>
      <c r="R148">
        <v>3.58</v>
      </c>
      <c r="S148">
        <v>634</v>
      </c>
      <c r="T148">
        <v>7</v>
      </c>
      <c r="U148">
        <v>400.45351473922904</v>
      </c>
      <c r="V148">
        <v>64.31</v>
      </c>
      <c r="W148">
        <v>1.9812000000000001</v>
      </c>
      <c r="X148">
        <v>92.967555999999988</v>
      </c>
      <c r="Y148">
        <f t="shared" si="2"/>
        <v>34.275541433438001</v>
      </c>
    </row>
    <row r="149" spans="1:25" x14ac:dyDescent="0.25">
      <c r="A149" t="s">
        <v>181</v>
      </c>
      <c r="B149" t="s">
        <v>167</v>
      </c>
      <c r="D149">
        <v>507.2861724</v>
      </c>
      <c r="E149">
        <v>615.92695760000004</v>
      </c>
      <c r="F149">
        <v>561.60656500000005</v>
      </c>
      <c r="G149">
        <v>116.7436422</v>
      </c>
      <c r="H149">
        <v>1.7244569080000001</v>
      </c>
      <c r="I149">
        <v>12.27491841</v>
      </c>
      <c r="J149">
        <v>0.14048622199999999</v>
      </c>
      <c r="K149">
        <v>2.047045847470006</v>
      </c>
      <c r="L149">
        <v>11.869245070207979</v>
      </c>
      <c r="M149">
        <v>12.50680024013354</v>
      </c>
      <c r="N149">
        <v>-0.23188183013354369</v>
      </c>
      <c r="O149">
        <v>1.4950193434608601</v>
      </c>
      <c r="P149">
        <v>0.22943756453913999</v>
      </c>
      <c r="Q149">
        <v>0.46131939467268368</v>
      </c>
      <c r="R149">
        <v>3.66</v>
      </c>
      <c r="S149">
        <v>594</v>
      </c>
      <c r="T149">
        <v>7</v>
      </c>
      <c r="U149">
        <v>396.37188208616777</v>
      </c>
      <c r="V149">
        <v>66.31</v>
      </c>
      <c r="W149">
        <v>2.0066000000000002</v>
      </c>
      <c r="X149">
        <v>92.128847999999991</v>
      </c>
      <c r="Y149">
        <f t="shared" si="2"/>
        <v>34.371708084655964</v>
      </c>
    </row>
    <row r="150" spans="1:25" x14ac:dyDescent="0.25">
      <c r="A150" t="s">
        <v>181</v>
      </c>
      <c r="B150" t="s">
        <v>168</v>
      </c>
      <c r="D150">
        <v>515.7100792</v>
      </c>
      <c r="E150">
        <v>604.84025703999998</v>
      </c>
      <c r="F150">
        <v>560.27516811999999</v>
      </c>
      <c r="G150">
        <v>117.633162</v>
      </c>
      <c r="H150">
        <v>1.414764728</v>
      </c>
      <c r="I150">
        <v>11.333173650000001</v>
      </c>
      <c r="J150">
        <v>0.124833941</v>
      </c>
      <c r="K150">
        <v>1.9523863163316251</v>
      </c>
      <c r="L150">
        <v>11.42528384153492</v>
      </c>
      <c r="M150">
        <v>12.073339432313899</v>
      </c>
      <c r="N150">
        <v>-0.74016578231390184</v>
      </c>
      <c r="O150">
        <v>1.4474983041789</v>
      </c>
      <c r="P150">
        <v>-3.2733576178900048E-2</v>
      </c>
      <c r="Q150">
        <v>0.7074322061350018</v>
      </c>
      <c r="R150">
        <v>2.79</v>
      </c>
      <c r="S150">
        <v>621</v>
      </c>
      <c r="T150">
        <v>7</v>
      </c>
      <c r="U150">
        <v>390.02267573696145</v>
      </c>
      <c r="V150">
        <v>66.98</v>
      </c>
      <c r="W150">
        <v>1.143</v>
      </c>
      <c r="X150">
        <v>89.741755999999995</v>
      </c>
      <c r="Y150">
        <f t="shared" si="2"/>
        <v>30.366565902843895</v>
      </c>
    </row>
    <row r="151" spans="1:25" x14ac:dyDescent="0.25">
      <c r="A151" t="s">
        <v>181</v>
      </c>
      <c r="B151" t="s">
        <v>169</v>
      </c>
      <c r="D151">
        <v>514.97966610000003</v>
      </c>
      <c r="E151">
        <v>602.73444337000001</v>
      </c>
      <c r="F151">
        <v>558.85705473500002</v>
      </c>
      <c r="G151">
        <v>115.2069316</v>
      </c>
      <c r="H151">
        <v>1.392932973</v>
      </c>
      <c r="I151">
        <v>11.03662413</v>
      </c>
      <c r="J151">
        <v>0.12621005800000001</v>
      </c>
      <c r="K151">
        <v>2.714005776817348</v>
      </c>
      <c r="L151">
        <v>17.035038194787369</v>
      </c>
      <c r="M151">
        <v>11.836357628730759</v>
      </c>
      <c r="N151">
        <v>-0.79973349873076316</v>
      </c>
      <c r="O151">
        <v>1.3820908561249801</v>
      </c>
      <c r="P151">
        <v>1.0842116875020119E-2</v>
      </c>
      <c r="Q151">
        <v>0.81057561560578328</v>
      </c>
      <c r="R151">
        <v>3.8</v>
      </c>
      <c r="S151">
        <v>611</v>
      </c>
      <c r="T151">
        <v>7</v>
      </c>
      <c r="U151">
        <v>388.66213151927434</v>
      </c>
      <c r="V151">
        <v>66.900000000000006</v>
      </c>
      <c r="W151">
        <v>2.0573999999999999</v>
      </c>
      <c r="X151">
        <v>89.290143999999984</v>
      </c>
      <c r="Y151">
        <f t="shared" si="2"/>
        <v>34.651295640289888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READ_ME</vt:lpstr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Beck, Matthew - REE-ARS</dc:creator>
  <cp:lastModifiedBy>Beck, Matthew - REE-ARS</cp:lastModifiedBy>
  <dcterms:created xsi:type="dcterms:W3CDTF">2024-02-26T14:29:53Z</dcterms:created>
  <dcterms:modified xsi:type="dcterms:W3CDTF">2024-06-21T15:21:54Z</dcterms:modified>
</cp:coreProperties>
</file>