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8490" activeTab="1"/>
  </bookViews>
  <sheets>
    <sheet name="Biomass" sheetId="1" r:id="rId1"/>
    <sheet name="Info" sheetId="2" r:id="rId2"/>
  </sheets>
  <calcPr calcId="125725"/>
</workbook>
</file>

<file path=xl/calcChain.xml><?xml version="1.0" encoding="utf-8"?>
<calcChain xmlns="http://schemas.openxmlformats.org/spreadsheetml/2006/main">
  <c r="K118" i="1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</calcChain>
</file>

<file path=xl/sharedStrings.xml><?xml version="1.0" encoding="utf-8"?>
<sst xmlns="http://schemas.openxmlformats.org/spreadsheetml/2006/main" count="479" uniqueCount="63">
  <si>
    <t>Pixel</t>
  </si>
  <si>
    <t>Latitude</t>
  </si>
  <si>
    <t>Longitude</t>
  </si>
  <si>
    <t xml:space="preserve">Poderosa </t>
  </si>
  <si>
    <t>A2_T1_P1</t>
  </si>
  <si>
    <t>Eucalipto Edson</t>
  </si>
  <si>
    <t>A2_T3_P1</t>
  </si>
  <si>
    <t>Copaiba</t>
  </si>
  <si>
    <t>A2_T3_P2</t>
  </si>
  <si>
    <t>Santa Clara</t>
  </si>
  <si>
    <t>A1a_T1_P6</t>
  </si>
  <si>
    <t>A1a_T7_P8</t>
  </si>
  <si>
    <t>A1b_T3_P13</t>
  </si>
  <si>
    <t>A1b_T2_PA</t>
  </si>
  <si>
    <t>A</t>
  </si>
  <si>
    <t>A1b_T2_P2</t>
  </si>
  <si>
    <t>A1b_T2_P5</t>
  </si>
  <si>
    <t>A1b_T2_PD</t>
  </si>
  <si>
    <t>D</t>
  </si>
  <si>
    <t>A1b_T8_P1</t>
  </si>
  <si>
    <t>A1a_T7_P7b</t>
  </si>
  <si>
    <t>7b</t>
  </si>
  <si>
    <t>A1b_T3_P17</t>
  </si>
  <si>
    <t>Farm</t>
  </si>
  <si>
    <t>Date</t>
  </si>
  <si>
    <t>Code</t>
  </si>
  <si>
    <t>Management</t>
  </si>
  <si>
    <t>Name</t>
  </si>
  <si>
    <t>Point</t>
  </si>
  <si>
    <t>Height cm</t>
  </si>
  <si>
    <t>weight hum g</t>
  </si>
  <si>
    <t>weight dry g</t>
  </si>
  <si>
    <t>weight Ton/ha</t>
  </si>
  <si>
    <t>cattle</t>
  </si>
  <si>
    <t>Obs</t>
  </si>
  <si>
    <t>Lagoa das eguas</t>
  </si>
  <si>
    <t>Yes</t>
  </si>
  <si>
    <t>No</t>
  </si>
  <si>
    <t>Column Name</t>
  </si>
  <si>
    <t>Description</t>
  </si>
  <si>
    <t>Name of the farm</t>
  </si>
  <si>
    <t>Date of biomass collection</t>
  </si>
  <si>
    <t>Code of the field where the biomass was collected</t>
  </si>
  <si>
    <t>Type of pasture management (see below)</t>
  </si>
  <si>
    <t>Name of the field according to the farm administration</t>
  </si>
  <si>
    <t>Number of the pixel (intern denomination and related with the MODIS NDVI image)</t>
  </si>
  <si>
    <t>Number of the point inside the pixel location where the biomass was collected (a total of 9 points)</t>
  </si>
  <si>
    <t>Height of the forage (in centimeter)</t>
  </si>
  <si>
    <t>humid weight of the forage (in grams)</t>
  </si>
  <si>
    <t>dry weight of the forage (in grams)</t>
  </si>
  <si>
    <t>dry weight of the forage per area (in tonnes per hectare)</t>
  </si>
  <si>
    <t>Latitude value of the point where the biomass was collected</t>
  </si>
  <si>
    <t>Longitude value of the point where the biomass was collected</t>
  </si>
  <si>
    <t>presence or absence of animals feeding on the forage during the biomass collection</t>
  </si>
  <si>
    <t>Additional observation</t>
  </si>
  <si>
    <t>Management Description</t>
  </si>
  <si>
    <t>Management Number</t>
  </si>
  <si>
    <t xml:space="preserve"> traditional, low forage productivity, cattle rotation</t>
  </si>
  <si>
    <t>traditional, intermediate forage productivity, fertilized, cattle rotation</t>
  </si>
  <si>
    <t xml:space="preserve">intensified pasture, high forage </t>
  </si>
  <si>
    <t>traditional degraded*, recently reformed with millet + grass, cattle rotation</t>
  </si>
  <si>
    <t>traditional, low forage productivity, signs of degradation, fertilized, cattle rotation</t>
  </si>
  <si>
    <t>*degraded was based on visual analysis of pasture area with sparse grass and exposed soil in some areas.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</si>
</sst>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2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vertical="center"/>
    </xf>
    <xf numFmtId="0" fontId="0" fillId="0" borderId="4" xfId="0" applyBorder="1"/>
    <xf numFmtId="0" fontId="4" fillId="0" borderId="5" xfId="0" applyFont="1" applyBorder="1"/>
    <xf numFmtId="0" fontId="4" fillId="0" borderId="6" xfId="0" applyFont="1" applyBorder="1"/>
    <xf numFmtId="0" fontId="3" fillId="0" borderId="7" xfId="0" applyFont="1" applyBorder="1" applyAlignment="1">
      <alignment vertical="center"/>
    </xf>
    <xf numFmtId="0" fontId="0" fillId="0" borderId="8" xfId="0" applyBorder="1"/>
    <xf numFmtId="0" fontId="3" fillId="0" borderId="9" xfId="0" applyFont="1" applyBorder="1" applyAlignment="1">
      <alignment vertical="center"/>
    </xf>
    <xf numFmtId="0" fontId="0" fillId="0" borderId="10" xfId="0" applyBorder="1"/>
    <xf numFmtId="2" fontId="3" fillId="0" borderId="9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12" xfId="0" applyBorder="1"/>
    <xf numFmtId="0" fontId="3" fillId="0" borderId="13" xfId="0" applyFont="1" applyBorder="1" applyAlignment="1">
      <alignment vertical="center"/>
    </xf>
    <xf numFmtId="0" fontId="0" fillId="0" borderId="14" xfId="0" applyBorder="1"/>
    <xf numFmtId="0" fontId="4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showGridLines="0" topLeftCell="F1" workbookViewId="0">
      <selection activeCell="O20" sqref="O20"/>
    </sheetView>
  </sheetViews>
  <sheetFormatPr defaultColWidth="14.42578125" defaultRowHeight="15"/>
  <cols>
    <col min="1" max="1" width="11.28515625" style="4" bestFit="1" customWidth="1"/>
    <col min="2" max="2" width="11.5703125" style="4" bestFit="1" customWidth="1"/>
    <col min="3" max="3" width="16.28515625" style="4" bestFit="1" customWidth="1"/>
    <col min="4" max="4" width="7.85546875" style="4" bestFit="1" customWidth="1"/>
    <col min="5" max="5" width="15.5703125" style="4" bestFit="1" customWidth="1"/>
    <col min="6" max="6" width="5.42578125" style="4" bestFit="1" customWidth="1"/>
    <col min="7" max="7" width="6.28515625" style="4" bestFit="1" customWidth="1"/>
    <col min="8" max="8" width="19.140625" style="4" bestFit="1" customWidth="1"/>
    <col min="9" max="9" width="19.85546875" style="4" bestFit="1" customWidth="1"/>
    <col min="10" max="10" width="17.7109375" style="12" bestFit="1" customWidth="1"/>
    <col min="11" max="11" width="17.7109375" style="12" customWidth="1"/>
    <col min="12" max="12" width="13.5703125" style="4" bestFit="1" customWidth="1"/>
    <col min="13" max="13" width="15.28515625" style="4" bestFit="1" customWidth="1"/>
    <col min="14" max="14" width="8.140625" style="4" bestFit="1" customWidth="1"/>
    <col min="15" max="15" width="59.42578125" style="4" bestFit="1" customWidth="1"/>
    <col min="16" max="16" width="11.5703125" style="4" bestFit="1" customWidth="1"/>
    <col min="17" max="32" width="8.7109375" style="4" customWidth="1"/>
    <col min="33" max="16384" width="14.42578125" style="4"/>
  </cols>
  <sheetData>
    <row r="1" spans="1:1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0</v>
      </c>
      <c r="G1" s="1" t="s">
        <v>28</v>
      </c>
      <c r="H1" s="1" t="s">
        <v>29</v>
      </c>
      <c r="I1" s="1" t="s">
        <v>30</v>
      </c>
      <c r="J1" s="2" t="s">
        <v>31</v>
      </c>
      <c r="K1" s="16" t="s">
        <v>32</v>
      </c>
      <c r="L1" s="21" t="s">
        <v>1</v>
      </c>
      <c r="M1" s="21" t="s">
        <v>2</v>
      </c>
      <c r="N1" s="18" t="s">
        <v>33</v>
      </c>
      <c r="O1" s="1" t="s">
        <v>34</v>
      </c>
      <c r="P1" s="3"/>
    </row>
    <row r="2" spans="1:16">
      <c r="A2" s="9" t="s">
        <v>3</v>
      </c>
      <c r="B2" s="6">
        <v>43535</v>
      </c>
      <c r="C2" s="8" t="s">
        <v>4</v>
      </c>
      <c r="D2" s="5">
        <v>1</v>
      </c>
      <c r="E2" s="13" t="s">
        <v>5</v>
      </c>
      <c r="F2" s="5">
        <v>1</v>
      </c>
      <c r="G2" s="5">
        <v>1</v>
      </c>
      <c r="H2" s="5">
        <v>19</v>
      </c>
      <c r="I2" s="7">
        <v>351.3</v>
      </c>
      <c r="J2" s="10">
        <v>135.47</v>
      </c>
      <c r="K2" s="17">
        <f t="shared" ref="K2:K12" si="0">(J2/0.25)*(10000)/1000000</f>
        <v>5.4188000000000001</v>
      </c>
      <c r="L2" s="22">
        <v>-22.233823668500001</v>
      </c>
      <c r="M2" s="22">
        <v>-51.678701926199899</v>
      </c>
      <c r="N2" s="19" t="s">
        <v>36</v>
      </c>
      <c r="O2" s="9"/>
    </row>
    <row r="3" spans="1:16">
      <c r="A3" s="9" t="s">
        <v>3</v>
      </c>
      <c r="B3" s="11">
        <v>43535</v>
      </c>
      <c r="C3" s="8" t="s">
        <v>4</v>
      </c>
      <c r="D3" s="5">
        <v>1</v>
      </c>
      <c r="E3" s="13" t="s">
        <v>5</v>
      </c>
      <c r="F3" s="5">
        <v>1</v>
      </c>
      <c r="G3" s="5">
        <v>2</v>
      </c>
      <c r="H3" s="5">
        <v>29</v>
      </c>
      <c r="I3" s="7">
        <v>323.14999999999998</v>
      </c>
      <c r="J3" s="10">
        <v>118.85</v>
      </c>
      <c r="K3" s="17">
        <f t="shared" si="0"/>
        <v>4.7539999999999996</v>
      </c>
      <c r="L3" s="22">
        <v>-22.233823668500001</v>
      </c>
      <c r="M3" s="22">
        <v>-51.678121300000001</v>
      </c>
      <c r="N3" s="19" t="s">
        <v>36</v>
      </c>
      <c r="O3" s="9"/>
    </row>
    <row r="4" spans="1:16">
      <c r="A4" s="9" t="s">
        <v>3</v>
      </c>
      <c r="B4" s="6">
        <v>43535</v>
      </c>
      <c r="C4" s="8" t="s">
        <v>4</v>
      </c>
      <c r="D4" s="5">
        <v>1</v>
      </c>
      <c r="E4" s="13" t="s">
        <v>5</v>
      </c>
      <c r="F4" s="5">
        <v>1</v>
      </c>
      <c r="G4" s="5">
        <v>3</v>
      </c>
      <c r="H4" s="5">
        <v>27</v>
      </c>
      <c r="I4" s="7">
        <v>430.44</v>
      </c>
      <c r="J4" s="10">
        <v>192.2</v>
      </c>
      <c r="K4" s="17">
        <f t="shared" si="0"/>
        <v>7.6879999999999997</v>
      </c>
      <c r="L4" s="22">
        <v>-22.233823668500001</v>
      </c>
      <c r="M4" s="22">
        <v>-51.677540673800003</v>
      </c>
      <c r="N4" s="19" t="s">
        <v>36</v>
      </c>
      <c r="O4" s="9"/>
    </row>
    <row r="5" spans="1:16">
      <c r="A5" s="9" t="s">
        <v>3</v>
      </c>
      <c r="B5" s="11">
        <v>43535</v>
      </c>
      <c r="C5" s="8" t="s">
        <v>4</v>
      </c>
      <c r="D5" s="5">
        <v>1</v>
      </c>
      <c r="E5" s="13" t="s">
        <v>5</v>
      </c>
      <c r="F5" s="5">
        <v>1</v>
      </c>
      <c r="G5" s="5">
        <v>4</v>
      </c>
      <c r="H5" s="5">
        <v>26</v>
      </c>
      <c r="I5" s="7">
        <v>300.27</v>
      </c>
      <c r="J5" s="10">
        <v>124.05</v>
      </c>
      <c r="K5" s="17">
        <f t="shared" si="0"/>
        <v>4.9619999999999997</v>
      </c>
      <c r="L5" s="22">
        <v>-22.2343774</v>
      </c>
      <c r="M5" s="22">
        <v>-51.678701926199899</v>
      </c>
      <c r="N5" s="19" t="s">
        <v>36</v>
      </c>
      <c r="O5" s="9"/>
    </row>
    <row r="6" spans="1:16">
      <c r="A6" s="9" t="s">
        <v>3</v>
      </c>
      <c r="B6" s="6">
        <v>43535</v>
      </c>
      <c r="C6" s="8" t="s">
        <v>4</v>
      </c>
      <c r="D6" s="5">
        <v>1</v>
      </c>
      <c r="E6" s="13" t="s">
        <v>5</v>
      </c>
      <c r="F6" s="5">
        <v>1</v>
      </c>
      <c r="G6" s="5">
        <v>5</v>
      </c>
      <c r="H6" s="5">
        <v>24</v>
      </c>
      <c r="I6" s="7">
        <v>283.89</v>
      </c>
      <c r="J6" s="10">
        <v>130.9</v>
      </c>
      <c r="K6" s="17">
        <f t="shared" si="0"/>
        <v>5.2359999999999998</v>
      </c>
      <c r="L6" s="22">
        <v>-22.2343774</v>
      </c>
      <c r="M6" s="22">
        <v>-51.678121300000001</v>
      </c>
      <c r="N6" s="19" t="s">
        <v>36</v>
      </c>
      <c r="O6" s="9"/>
    </row>
    <row r="7" spans="1:16">
      <c r="A7" s="9" t="s">
        <v>3</v>
      </c>
      <c r="B7" s="11">
        <v>43535</v>
      </c>
      <c r="C7" s="8" t="s">
        <v>4</v>
      </c>
      <c r="D7" s="5">
        <v>1</v>
      </c>
      <c r="E7" s="13" t="s">
        <v>5</v>
      </c>
      <c r="F7" s="5">
        <v>1</v>
      </c>
      <c r="G7" s="5">
        <v>6</v>
      </c>
      <c r="H7" s="5">
        <v>24</v>
      </c>
      <c r="I7" s="7">
        <v>221.94</v>
      </c>
      <c r="J7" s="10">
        <v>99.24</v>
      </c>
      <c r="K7" s="17">
        <f t="shared" si="0"/>
        <v>3.9695999999999998</v>
      </c>
      <c r="L7" s="22">
        <v>-22.2343774</v>
      </c>
      <c r="M7" s="22">
        <v>-51.677540673800003</v>
      </c>
      <c r="N7" s="19" t="s">
        <v>36</v>
      </c>
      <c r="O7" s="9"/>
    </row>
    <row r="8" spans="1:16">
      <c r="A8" s="9" t="s">
        <v>3</v>
      </c>
      <c r="B8" s="6">
        <v>43535</v>
      </c>
      <c r="C8" s="8" t="s">
        <v>4</v>
      </c>
      <c r="D8" s="5">
        <v>1</v>
      </c>
      <c r="E8" s="13" t="s">
        <v>5</v>
      </c>
      <c r="F8" s="5">
        <v>1</v>
      </c>
      <c r="G8" s="5">
        <v>7</v>
      </c>
      <c r="H8" s="5">
        <v>31</v>
      </c>
      <c r="I8" s="7">
        <v>322</v>
      </c>
      <c r="J8" s="10">
        <v>120.56</v>
      </c>
      <c r="K8" s="17">
        <f t="shared" si="0"/>
        <v>4.8224</v>
      </c>
      <c r="L8" s="22">
        <v>-22.234931131500002</v>
      </c>
      <c r="M8" s="22">
        <v>-51.678701926199899</v>
      </c>
      <c r="N8" s="19" t="s">
        <v>36</v>
      </c>
      <c r="O8" s="9"/>
    </row>
    <row r="9" spans="1:16">
      <c r="A9" s="9" t="s">
        <v>3</v>
      </c>
      <c r="B9" s="11">
        <v>43535</v>
      </c>
      <c r="C9" s="8" t="s">
        <v>4</v>
      </c>
      <c r="D9" s="5">
        <v>1</v>
      </c>
      <c r="E9" s="13" t="s">
        <v>5</v>
      </c>
      <c r="F9" s="5">
        <v>1</v>
      </c>
      <c r="G9" s="5">
        <v>8</v>
      </c>
      <c r="H9" s="5">
        <v>16</v>
      </c>
      <c r="I9" s="7">
        <v>165.2</v>
      </c>
      <c r="J9" s="10">
        <v>76.31</v>
      </c>
      <c r="K9" s="17">
        <f t="shared" si="0"/>
        <v>3.0524</v>
      </c>
      <c r="L9" s="22">
        <v>-22.234931131500002</v>
      </c>
      <c r="M9" s="22">
        <v>-51.678121300000001</v>
      </c>
      <c r="N9" s="19" t="s">
        <v>36</v>
      </c>
      <c r="O9" s="9"/>
    </row>
    <row r="10" spans="1:16">
      <c r="A10" s="9" t="s">
        <v>3</v>
      </c>
      <c r="B10" s="6">
        <v>43535</v>
      </c>
      <c r="C10" s="8" t="s">
        <v>4</v>
      </c>
      <c r="D10" s="5">
        <v>1</v>
      </c>
      <c r="E10" s="13" t="s">
        <v>5</v>
      </c>
      <c r="F10" s="5">
        <v>1</v>
      </c>
      <c r="G10" s="5">
        <v>9</v>
      </c>
      <c r="H10" s="5">
        <v>27</v>
      </c>
      <c r="I10" s="7">
        <v>267</v>
      </c>
      <c r="J10" s="10">
        <v>123.76</v>
      </c>
      <c r="K10" s="17">
        <f t="shared" si="0"/>
        <v>4.9504000000000001</v>
      </c>
      <c r="L10" s="22">
        <v>-22.234931131500002</v>
      </c>
      <c r="M10" s="22">
        <v>-51.677540673800003</v>
      </c>
      <c r="N10" s="19" t="s">
        <v>36</v>
      </c>
      <c r="O10" s="9"/>
    </row>
    <row r="11" spans="1:16">
      <c r="A11" s="9" t="s">
        <v>3</v>
      </c>
      <c r="B11" s="11">
        <v>43535</v>
      </c>
      <c r="C11" s="9" t="s">
        <v>6</v>
      </c>
      <c r="D11" s="5">
        <v>2</v>
      </c>
      <c r="E11" s="14" t="s">
        <v>7</v>
      </c>
      <c r="F11" s="9">
        <v>1</v>
      </c>
      <c r="G11" s="5">
        <v>1</v>
      </c>
      <c r="H11" s="5">
        <v>16</v>
      </c>
      <c r="I11" s="7">
        <v>135.36000000000001</v>
      </c>
      <c r="J11" s="10">
        <v>48.91</v>
      </c>
      <c r="K11" s="17">
        <f t="shared" si="0"/>
        <v>1.9563999999999997</v>
      </c>
      <c r="L11" s="22">
        <v>-22.2275547684999</v>
      </c>
      <c r="M11" s="22">
        <v>-51.674525426199899</v>
      </c>
      <c r="N11" s="19" t="s">
        <v>37</v>
      </c>
      <c r="O11" s="9"/>
    </row>
    <row r="12" spans="1:16">
      <c r="A12" s="9" t="s">
        <v>3</v>
      </c>
      <c r="B12" s="6">
        <v>43535</v>
      </c>
      <c r="C12" s="9" t="s">
        <v>6</v>
      </c>
      <c r="D12" s="5">
        <v>2</v>
      </c>
      <c r="E12" s="14" t="s">
        <v>7</v>
      </c>
      <c r="F12" s="9">
        <v>1</v>
      </c>
      <c r="G12" s="5">
        <v>2</v>
      </c>
      <c r="H12" s="5">
        <v>13</v>
      </c>
      <c r="I12" s="7">
        <v>171.44</v>
      </c>
      <c r="J12" s="10">
        <v>65.12</v>
      </c>
      <c r="K12" s="17">
        <f t="shared" si="0"/>
        <v>2.6048</v>
      </c>
      <c r="L12" s="22">
        <v>-22.2275547684999</v>
      </c>
      <c r="M12" s="22">
        <v>-51.673944800000001</v>
      </c>
      <c r="N12" s="19" t="s">
        <v>37</v>
      </c>
      <c r="O12" s="9"/>
    </row>
    <row r="13" spans="1:16">
      <c r="A13" s="9" t="s">
        <v>3</v>
      </c>
      <c r="B13" s="11">
        <v>43535</v>
      </c>
      <c r="C13" s="9" t="s">
        <v>6</v>
      </c>
      <c r="D13" s="5">
        <v>2</v>
      </c>
      <c r="E13" s="14" t="s">
        <v>7</v>
      </c>
      <c r="F13" s="9">
        <v>1</v>
      </c>
      <c r="G13" s="5">
        <v>3</v>
      </c>
      <c r="H13" s="5">
        <v>7</v>
      </c>
      <c r="I13" s="7">
        <v>119.93</v>
      </c>
      <c r="J13" s="10">
        <v>49.2</v>
      </c>
      <c r="K13" s="17">
        <f t="shared" ref="K13:K76" si="1">(J13/0.25)*(10000)/1000000</f>
        <v>1.968</v>
      </c>
      <c r="L13" s="22">
        <v>-22.2275547684999</v>
      </c>
      <c r="M13" s="22">
        <v>-51.673364173800003</v>
      </c>
      <c r="N13" s="19" t="s">
        <v>37</v>
      </c>
      <c r="O13" s="9"/>
    </row>
    <row r="14" spans="1:16">
      <c r="A14" s="9" t="s">
        <v>3</v>
      </c>
      <c r="B14" s="6">
        <v>43535</v>
      </c>
      <c r="C14" s="9" t="s">
        <v>6</v>
      </c>
      <c r="D14" s="5">
        <v>2</v>
      </c>
      <c r="E14" s="14" t="s">
        <v>7</v>
      </c>
      <c r="F14" s="9">
        <v>1</v>
      </c>
      <c r="G14" s="5">
        <v>4</v>
      </c>
      <c r="H14" s="5">
        <v>15</v>
      </c>
      <c r="I14" s="7">
        <v>140.77000000000001</v>
      </c>
      <c r="J14" s="10">
        <v>54.71</v>
      </c>
      <c r="K14" s="17">
        <f t="shared" si="1"/>
        <v>2.1884000000000001</v>
      </c>
      <c r="L14" s="22">
        <v>-22.228108500000001</v>
      </c>
      <c r="M14" s="22">
        <v>-51.674525426199899</v>
      </c>
      <c r="N14" s="19" t="s">
        <v>37</v>
      </c>
      <c r="O14" s="9"/>
    </row>
    <row r="15" spans="1:16">
      <c r="A15" s="9" t="s">
        <v>3</v>
      </c>
      <c r="B15" s="11">
        <v>43535</v>
      </c>
      <c r="C15" s="9" t="s">
        <v>6</v>
      </c>
      <c r="D15" s="5">
        <v>2</v>
      </c>
      <c r="E15" s="14" t="s">
        <v>7</v>
      </c>
      <c r="F15" s="9">
        <v>1</v>
      </c>
      <c r="G15" s="5">
        <v>5</v>
      </c>
      <c r="H15" s="5">
        <v>23</v>
      </c>
      <c r="I15" s="7">
        <v>208.56</v>
      </c>
      <c r="J15" s="10">
        <v>68.010000000000005</v>
      </c>
      <c r="K15" s="17">
        <f t="shared" si="1"/>
        <v>2.7204000000000002</v>
      </c>
      <c r="L15" s="22">
        <v>-22.228108500000001</v>
      </c>
      <c r="M15" s="22">
        <v>-51.673944800000001</v>
      </c>
      <c r="N15" s="19" t="s">
        <v>37</v>
      </c>
      <c r="O15" s="9"/>
    </row>
    <row r="16" spans="1:16">
      <c r="A16" s="9" t="s">
        <v>3</v>
      </c>
      <c r="B16" s="6">
        <v>43535</v>
      </c>
      <c r="C16" s="9" t="s">
        <v>6</v>
      </c>
      <c r="D16" s="5">
        <v>2</v>
      </c>
      <c r="E16" s="14" t="s">
        <v>7</v>
      </c>
      <c r="F16" s="9">
        <v>1</v>
      </c>
      <c r="G16" s="5">
        <v>6</v>
      </c>
      <c r="H16" s="5">
        <v>22</v>
      </c>
      <c r="I16" s="7">
        <v>206.71</v>
      </c>
      <c r="J16" s="10">
        <v>83.5</v>
      </c>
      <c r="K16" s="17">
        <f t="shared" si="1"/>
        <v>3.34</v>
      </c>
      <c r="L16" s="22">
        <v>-22.228108500000001</v>
      </c>
      <c r="M16" s="22">
        <v>-51.673364173800003</v>
      </c>
      <c r="N16" s="19" t="s">
        <v>37</v>
      </c>
      <c r="O16" s="9"/>
    </row>
    <row r="17" spans="1:15">
      <c r="A17" s="9" t="s">
        <v>3</v>
      </c>
      <c r="B17" s="11">
        <v>43535</v>
      </c>
      <c r="C17" s="9" t="s">
        <v>6</v>
      </c>
      <c r="D17" s="5">
        <v>2</v>
      </c>
      <c r="E17" s="14" t="s">
        <v>7</v>
      </c>
      <c r="F17" s="9">
        <v>1</v>
      </c>
      <c r="G17" s="5">
        <v>7</v>
      </c>
      <c r="H17" s="5">
        <v>15</v>
      </c>
      <c r="I17" s="7">
        <v>158.43</v>
      </c>
      <c r="J17" s="10">
        <v>70.040000000000006</v>
      </c>
      <c r="K17" s="17">
        <f t="shared" si="1"/>
        <v>2.8016000000000005</v>
      </c>
      <c r="L17" s="22">
        <v>-22.2286622315</v>
      </c>
      <c r="M17" s="22">
        <v>-51.674525426199899</v>
      </c>
      <c r="N17" s="19" t="s">
        <v>37</v>
      </c>
      <c r="O17" s="9"/>
    </row>
    <row r="18" spans="1:15">
      <c r="A18" s="9" t="s">
        <v>3</v>
      </c>
      <c r="B18" s="6">
        <v>43535</v>
      </c>
      <c r="C18" s="9" t="s">
        <v>6</v>
      </c>
      <c r="D18" s="5">
        <v>2</v>
      </c>
      <c r="E18" s="14" t="s">
        <v>7</v>
      </c>
      <c r="F18" s="9">
        <v>1</v>
      </c>
      <c r="G18" s="5">
        <v>8</v>
      </c>
      <c r="H18" s="5">
        <v>29</v>
      </c>
      <c r="I18" s="7">
        <v>419.21</v>
      </c>
      <c r="J18" s="10">
        <v>102.94</v>
      </c>
      <c r="K18" s="17">
        <f t="shared" si="1"/>
        <v>4.1176000000000004</v>
      </c>
      <c r="L18" s="22">
        <v>-22.2286622315</v>
      </c>
      <c r="M18" s="22">
        <v>-51.673944800000001</v>
      </c>
      <c r="N18" s="19" t="s">
        <v>37</v>
      </c>
      <c r="O18" s="9"/>
    </row>
    <row r="19" spans="1:15">
      <c r="A19" s="9" t="s">
        <v>3</v>
      </c>
      <c r="B19" s="11">
        <v>43535</v>
      </c>
      <c r="C19" s="9" t="s">
        <v>6</v>
      </c>
      <c r="D19" s="5">
        <v>2</v>
      </c>
      <c r="E19" s="14" t="s">
        <v>7</v>
      </c>
      <c r="F19" s="9">
        <v>1</v>
      </c>
      <c r="G19" s="5">
        <v>9</v>
      </c>
      <c r="H19" s="5">
        <v>15</v>
      </c>
      <c r="I19" s="7">
        <v>180.73</v>
      </c>
      <c r="J19" s="10">
        <v>69.66</v>
      </c>
      <c r="K19" s="17">
        <f t="shared" si="1"/>
        <v>2.7864</v>
      </c>
      <c r="L19" s="22">
        <v>-22.2286622315</v>
      </c>
      <c r="M19" s="22">
        <v>-51.673364173800003</v>
      </c>
      <c r="N19" s="19" t="s">
        <v>37</v>
      </c>
      <c r="O19" s="9"/>
    </row>
    <row r="20" spans="1:15">
      <c r="A20" s="9" t="s">
        <v>3</v>
      </c>
      <c r="B20" s="6">
        <v>43535</v>
      </c>
      <c r="C20" s="9" t="s">
        <v>8</v>
      </c>
      <c r="D20" s="5">
        <v>2</v>
      </c>
      <c r="E20" s="14" t="s">
        <v>7</v>
      </c>
      <c r="F20" s="9">
        <v>2</v>
      </c>
      <c r="G20" s="5">
        <v>1</v>
      </c>
      <c r="H20" s="5">
        <v>9</v>
      </c>
      <c r="I20" s="7">
        <v>134.12</v>
      </c>
      <c r="J20" s="10">
        <v>47.08</v>
      </c>
      <c r="K20" s="17">
        <f t="shared" si="1"/>
        <v>1.8832</v>
      </c>
      <c r="L20" s="22">
        <v>-22.2259756539999</v>
      </c>
      <c r="M20" s="22">
        <v>-51.674576413499899</v>
      </c>
      <c r="N20" s="19" t="s">
        <v>37</v>
      </c>
      <c r="O20" s="9"/>
    </row>
    <row r="21" spans="1:15">
      <c r="A21" s="9" t="s">
        <v>3</v>
      </c>
      <c r="B21" s="11">
        <v>43535</v>
      </c>
      <c r="C21" s="9" t="s">
        <v>8</v>
      </c>
      <c r="D21" s="5">
        <v>2</v>
      </c>
      <c r="E21" s="14" t="s">
        <v>7</v>
      </c>
      <c r="F21" s="9">
        <v>2</v>
      </c>
      <c r="G21" s="5">
        <v>2</v>
      </c>
      <c r="H21" s="5">
        <v>19</v>
      </c>
      <c r="I21" s="7">
        <v>239.52</v>
      </c>
      <c r="J21" s="10">
        <v>89.99</v>
      </c>
      <c r="K21" s="17">
        <f t="shared" si="1"/>
        <v>3.5996000000000001</v>
      </c>
      <c r="L21" s="22">
        <v>-22.2259756539999</v>
      </c>
      <c r="M21" s="22">
        <v>-51.673995787300001</v>
      </c>
      <c r="N21" s="19" t="s">
        <v>37</v>
      </c>
      <c r="O21" s="9"/>
    </row>
    <row r="22" spans="1:15">
      <c r="A22" s="9" t="s">
        <v>3</v>
      </c>
      <c r="B22" s="6">
        <v>43535</v>
      </c>
      <c r="C22" s="9" t="s">
        <v>8</v>
      </c>
      <c r="D22" s="5">
        <v>2</v>
      </c>
      <c r="E22" s="14" t="s">
        <v>7</v>
      </c>
      <c r="F22" s="9">
        <v>2</v>
      </c>
      <c r="G22" s="5">
        <v>3</v>
      </c>
      <c r="H22" s="5">
        <v>21</v>
      </c>
      <c r="I22" s="7">
        <v>211.91</v>
      </c>
      <c r="J22" s="10">
        <v>87.09</v>
      </c>
      <c r="K22" s="17">
        <f t="shared" si="1"/>
        <v>3.4836</v>
      </c>
      <c r="L22" s="22">
        <v>-22.2259756539999</v>
      </c>
      <c r="M22" s="22">
        <v>-51.673415161100003</v>
      </c>
      <c r="N22" s="19" t="s">
        <v>37</v>
      </c>
      <c r="O22" s="9"/>
    </row>
    <row r="23" spans="1:15">
      <c r="A23" s="9" t="s">
        <v>3</v>
      </c>
      <c r="B23" s="11">
        <v>43535</v>
      </c>
      <c r="C23" s="9" t="s">
        <v>8</v>
      </c>
      <c r="D23" s="5">
        <v>2</v>
      </c>
      <c r="E23" s="14" t="s">
        <v>7</v>
      </c>
      <c r="F23" s="9">
        <v>2</v>
      </c>
      <c r="G23" s="5">
        <v>4</v>
      </c>
      <c r="H23" s="5">
        <v>12</v>
      </c>
      <c r="I23" s="7">
        <v>139.56</v>
      </c>
      <c r="J23" s="10">
        <v>56.03</v>
      </c>
      <c r="K23" s="17">
        <f t="shared" si="1"/>
        <v>2.2412000000000001</v>
      </c>
      <c r="L23" s="22">
        <v>-22.226529385500001</v>
      </c>
      <c r="M23" s="22">
        <v>-51.674576413499899</v>
      </c>
      <c r="N23" s="19" t="s">
        <v>37</v>
      </c>
      <c r="O23" s="9"/>
    </row>
    <row r="24" spans="1:15">
      <c r="A24" s="9" t="s">
        <v>3</v>
      </c>
      <c r="B24" s="6">
        <v>43535</v>
      </c>
      <c r="C24" s="9" t="s">
        <v>8</v>
      </c>
      <c r="D24" s="5">
        <v>2</v>
      </c>
      <c r="E24" s="14" t="s">
        <v>7</v>
      </c>
      <c r="F24" s="9">
        <v>2</v>
      </c>
      <c r="G24" s="5">
        <v>5</v>
      </c>
      <c r="H24" s="5">
        <v>13</v>
      </c>
      <c r="I24" s="7">
        <v>162.82</v>
      </c>
      <c r="J24" s="10">
        <v>58.64</v>
      </c>
      <c r="K24" s="17">
        <f t="shared" si="1"/>
        <v>2.3456000000000001</v>
      </c>
      <c r="L24" s="22">
        <v>-22.226529385500001</v>
      </c>
      <c r="M24" s="22">
        <v>-51.673995787300001</v>
      </c>
      <c r="N24" s="19" t="s">
        <v>37</v>
      </c>
      <c r="O24" s="9"/>
    </row>
    <row r="25" spans="1:15">
      <c r="A25" s="9" t="s">
        <v>3</v>
      </c>
      <c r="B25" s="11">
        <v>43535</v>
      </c>
      <c r="C25" s="9" t="s">
        <v>8</v>
      </c>
      <c r="D25" s="5">
        <v>2</v>
      </c>
      <c r="E25" s="14" t="s">
        <v>7</v>
      </c>
      <c r="F25" s="9">
        <v>2</v>
      </c>
      <c r="G25" s="5">
        <v>6</v>
      </c>
      <c r="H25" s="5">
        <v>25</v>
      </c>
      <c r="I25" s="7">
        <v>209.15</v>
      </c>
      <c r="J25" s="10">
        <v>87.94</v>
      </c>
      <c r="K25" s="17">
        <f t="shared" si="1"/>
        <v>3.5175999999999998</v>
      </c>
      <c r="L25" s="22">
        <v>-22.226529385500001</v>
      </c>
      <c r="M25" s="22">
        <v>-51.673415161100003</v>
      </c>
      <c r="N25" s="19" t="s">
        <v>37</v>
      </c>
      <c r="O25" s="9"/>
    </row>
    <row r="26" spans="1:15">
      <c r="A26" s="9" t="s">
        <v>3</v>
      </c>
      <c r="B26" s="6">
        <v>43535</v>
      </c>
      <c r="C26" s="9" t="s">
        <v>8</v>
      </c>
      <c r="D26" s="5">
        <v>2</v>
      </c>
      <c r="E26" s="14" t="s">
        <v>7</v>
      </c>
      <c r="F26" s="9">
        <v>2</v>
      </c>
      <c r="G26" s="5">
        <v>7</v>
      </c>
      <c r="H26" s="5">
        <v>17</v>
      </c>
      <c r="I26" s="7">
        <v>154.97</v>
      </c>
      <c r="J26" s="10">
        <v>69.7</v>
      </c>
      <c r="K26" s="17">
        <f t="shared" si="1"/>
        <v>2.7879999999999998</v>
      </c>
      <c r="L26" s="22">
        <v>-22.2270831169999</v>
      </c>
      <c r="M26" s="22">
        <v>-51.674576413499899</v>
      </c>
      <c r="N26" s="19" t="s">
        <v>37</v>
      </c>
      <c r="O26" s="9"/>
    </row>
    <row r="27" spans="1:15">
      <c r="A27" s="9" t="s">
        <v>3</v>
      </c>
      <c r="B27" s="11">
        <v>43535</v>
      </c>
      <c r="C27" s="9" t="s">
        <v>8</v>
      </c>
      <c r="D27" s="5">
        <v>2</v>
      </c>
      <c r="E27" s="14" t="s">
        <v>7</v>
      </c>
      <c r="F27" s="9">
        <v>2</v>
      </c>
      <c r="G27" s="5">
        <v>8</v>
      </c>
      <c r="H27" s="5">
        <v>8</v>
      </c>
      <c r="I27" s="7">
        <v>143.94999999999999</v>
      </c>
      <c r="J27" s="10">
        <v>56.92</v>
      </c>
      <c r="K27" s="17">
        <f t="shared" si="1"/>
        <v>2.2768000000000002</v>
      </c>
      <c r="L27" s="22">
        <v>-22.2270831169999</v>
      </c>
      <c r="M27" s="22">
        <v>-51.673995787300001</v>
      </c>
      <c r="N27" s="19" t="s">
        <v>37</v>
      </c>
      <c r="O27" s="9"/>
    </row>
    <row r="28" spans="1:15">
      <c r="A28" s="9" t="s">
        <v>3</v>
      </c>
      <c r="B28" s="6">
        <v>43535</v>
      </c>
      <c r="C28" s="9" t="s">
        <v>8</v>
      </c>
      <c r="D28" s="5">
        <v>2</v>
      </c>
      <c r="E28" s="14" t="s">
        <v>7</v>
      </c>
      <c r="F28" s="9">
        <v>2</v>
      </c>
      <c r="G28" s="5">
        <v>9</v>
      </c>
      <c r="H28" s="5">
        <v>22</v>
      </c>
      <c r="I28" s="7">
        <v>209.74</v>
      </c>
      <c r="J28" s="10">
        <v>81.150000000000006</v>
      </c>
      <c r="K28" s="17">
        <f t="shared" si="1"/>
        <v>3.246</v>
      </c>
      <c r="L28" s="22">
        <v>-22.2270831169999</v>
      </c>
      <c r="M28" s="22">
        <v>-51.673415161100003</v>
      </c>
      <c r="N28" s="19" t="s">
        <v>37</v>
      </c>
      <c r="O28" s="9"/>
    </row>
    <row r="29" spans="1:15">
      <c r="A29" s="5" t="s">
        <v>9</v>
      </c>
      <c r="B29" s="11">
        <v>43536</v>
      </c>
      <c r="C29" s="9" t="s">
        <v>10</v>
      </c>
      <c r="D29" s="9">
        <v>1</v>
      </c>
      <c r="E29" s="15">
        <v>14</v>
      </c>
      <c r="F29" s="9">
        <v>6</v>
      </c>
      <c r="G29" s="5">
        <v>1</v>
      </c>
      <c r="H29" s="5">
        <v>5</v>
      </c>
      <c r="I29" s="7">
        <v>79.989999999999995</v>
      </c>
      <c r="J29" s="10">
        <v>38.57</v>
      </c>
      <c r="K29" s="17">
        <f t="shared" si="1"/>
        <v>1.5427999999999999</v>
      </c>
      <c r="L29" s="22">
        <v>-22.1420031685</v>
      </c>
      <c r="M29" s="22">
        <v>-51.6618494262</v>
      </c>
      <c r="N29" s="19" t="s">
        <v>37</v>
      </c>
      <c r="O29" s="9"/>
    </row>
    <row r="30" spans="1:15">
      <c r="A30" s="5" t="s">
        <v>9</v>
      </c>
      <c r="B30" s="11">
        <v>43536</v>
      </c>
      <c r="C30" s="9" t="s">
        <v>10</v>
      </c>
      <c r="D30" s="9">
        <v>1</v>
      </c>
      <c r="E30" s="15">
        <v>14</v>
      </c>
      <c r="F30" s="9">
        <v>6</v>
      </c>
      <c r="G30" s="5">
        <v>2</v>
      </c>
      <c r="H30" s="5">
        <v>8</v>
      </c>
      <c r="I30" s="7">
        <v>99.67</v>
      </c>
      <c r="J30" s="10">
        <v>33.19</v>
      </c>
      <c r="K30" s="17">
        <f t="shared" si="1"/>
        <v>1.3275999999999999</v>
      </c>
      <c r="L30" s="22">
        <v>-22.1420031685</v>
      </c>
      <c r="M30" s="22">
        <v>-51.661268800000002</v>
      </c>
      <c r="N30" s="19" t="s">
        <v>37</v>
      </c>
      <c r="O30" s="9"/>
    </row>
    <row r="31" spans="1:15">
      <c r="A31" s="5" t="s">
        <v>9</v>
      </c>
      <c r="B31" s="11">
        <v>43536</v>
      </c>
      <c r="C31" s="9" t="s">
        <v>10</v>
      </c>
      <c r="D31" s="9">
        <v>1</v>
      </c>
      <c r="E31" s="15">
        <v>14</v>
      </c>
      <c r="F31" s="9">
        <v>6</v>
      </c>
      <c r="G31" s="5">
        <v>3</v>
      </c>
      <c r="H31" s="5">
        <v>6</v>
      </c>
      <c r="I31" s="7">
        <v>97.7</v>
      </c>
      <c r="J31" s="10">
        <v>26.11</v>
      </c>
      <c r="K31" s="17">
        <f t="shared" si="1"/>
        <v>1.0444</v>
      </c>
      <c r="L31" s="22">
        <v>-22.1420031685</v>
      </c>
      <c r="M31" s="22">
        <v>-51.660688173799898</v>
      </c>
      <c r="N31" s="19" t="s">
        <v>37</v>
      </c>
      <c r="O31" s="9"/>
    </row>
    <row r="32" spans="1:15">
      <c r="A32" s="5" t="s">
        <v>9</v>
      </c>
      <c r="B32" s="11">
        <v>43536</v>
      </c>
      <c r="C32" s="9" t="s">
        <v>10</v>
      </c>
      <c r="D32" s="9">
        <v>1</v>
      </c>
      <c r="E32" s="15">
        <v>14</v>
      </c>
      <c r="F32" s="9">
        <v>6</v>
      </c>
      <c r="G32" s="5">
        <v>4</v>
      </c>
      <c r="H32" s="5">
        <v>5</v>
      </c>
      <c r="I32" s="7">
        <v>63.1</v>
      </c>
      <c r="J32" s="10">
        <v>17.68</v>
      </c>
      <c r="K32" s="17">
        <f t="shared" si="1"/>
        <v>0.70720000000000005</v>
      </c>
      <c r="L32" s="22">
        <v>-22.142556899999899</v>
      </c>
      <c r="M32" s="22">
        <v>-51.6618494262</v>
      </c>
      <c r="N32" s="19" t="s">
        <v>37</v>
      </c>
      <c r="O32" s="9"/>
    </row>
    <row r="33" spans="1:15">
      <c r="A33" s="5" t="s">
        <v>9</v>
      </c>
      <c r="B33" s="11">
        <v>43536</v>
      </c>
      <c r="C33" s="9" t="s">
        <v>10</v>
      </c>
      <c r="D33" s="9">
        <v>1</v>
      </c>
      <c r="E33" s="15">
        <v>14</v>
      </c>
      <c r="F33" s="9">
        <v>6</v>
      </c>
      <c r="G33" s="5">
        <v>5</v>
      </c>
      <c r="H33" s="5">
        <v>7</v>
      </c>
      <c r="I33" s="7">
        <v>79.989999999999995</v>
      </c>
      <c r="J33" s="10">
        <v>24.02</v>
      </c>
      <c r="K33" s="17">
        <f t="shared" si="1"/>
        <v>0.96079999999999999</v>
      </c>
      <c r="L33" s="22">
        <v>-22.142556899999899</v>
      </c>
      <c r="M33" s="22">
        <v>-51.661268800000002</v>
      </c>
      <c r="N33" s="19" t="s">
        <v>37</v>
      </c>
      <c r="O33" s="9"/>
    </row>
    <row r="34" spans="1:15">
      <c r="A34" s="5" t="s">
        <v>9</v>
      </c>
      <c r="B34" s="11">
        <v>43536</v>
      </c>
      <c r="C34" s="9" t="s">
        <v>10</v>
      </c>
      <c r="D34" s="9">
        <v>1</v>
      </c>
      <c r="E34" s="15">
        <v>14</v>
      </c>
      <c r="F34" s="9">
        <v>6</v>
      </c>
      <c r="G34" s="5">
        <v>6</v>
      </c>
      <c r="H34" s="5">
        <v>5</v>
      </c>
      <c r="I34" s="7">
        <v>103.25</v>
      </c>
      <c r="J34" s="10">
        <v>35.520000000000003</v>
      </c>
      <c r="K34" s="17">
        <f t="shared" si="1"/>
        <v>1.4208000000000003</v>
      </c>
      <c r="L34" s="22">
        <v>-22.142556899999899</v>
      </c>
      <c r="M34" s="22">
        <v>-51.660688173799898</v>
      </c>
      <c r="N34" s="19" t="s">
        <v>37</v>
      </c>
      <c r="O34" s="9"/>
    </row>
    <row r="35" spans="1:15">
      <c r="A35" s="5" t="s">
        <v>9</v>
      </c>
      <c r="B35" s="11">
        <v>43536</v>
      </c>
      <c r="C35" s="9" t="s">
        <v>10</v>
      </c>
      <c r="D35" s="9">
        <v>1</v>
      </c>
      <c r="E35" s="15">
        <v>14</v>
      </c>
      <c r="F35" s="9">
        <v>6</v>
      </c>
      <c r="G35" s="5">
        <v>7</v>
      </c>
      <c r="H35" s="5">
        <v>6</v>
      </c>
      <c r="I35" s="7">
        <v>81</v>
      </c>
      <c r="J35" s="10">
        <v>21.97</v>
      </c>
      <c r="K35" s="17">
        <f t="shared" si="1"/>
        <v>0.87880000000000003</v>
      </c>
      <c r="L35" s="22">
        <v>-22.143110631500001</v>
      </c>
      <c r="M35" s="22">
        <v>-51.6618494262</v>
      </c>
      <c r="N35" s="19" t="s">
        <v>37</v>
      </c>
      <c r="O35" s="9"/>
    </row>
    <row r="36" spans="1:15">
      <c r="A36" s="5" t="s">
        <v>9</v>
      </c>
      <c r="B36" s="11">
        <v>43536</v>
      </c>
      <c r="C36" s="9" t="s">
        <v>10</v>
      </c>
      <c r="D36" s="9">
        <v>1</v>
      </c>
      <c r="E36" s="15">
        <v>14</v>
      </c>
      <c r="F36" s="9">
        <v>6</v>
      </c>
      <c r="G36" s="5">
        <v>8</v>
      </c>
      <c r="H36" s="5">
        <v>7</v>
      </c>
      <c r="I36" s="7">
        <v>82.11</v>
      </c>
      <c r="J36" s="10">
        <v>28.27</v>
      </c>
      <c r="K36" s="17">
        <f t="shared" si="1"/>
        <v>1.1308</v>
      </c>
      <c r="L36" s="22">
        <v>-22.143110631500001</v>
      </c>
      <c r="M36" s="22">
        <v>-51.661268800000002</v>
      </c>
      <c r="N36" s="19" t="s">
        <v>37</v>
      </c>
      <c r="O36" s="9"/>
    </row>
    <row r="37" spans="1:15">
      <c r="A37" s="5" t="s">
        <v>9</v>
      </c>
      <c r="B37" s="11">
        <v>43536</v>
      </c>
      <c r="C37" s="9" t="s">
        <v>10</v>
      </c>
      <c r="D37" s="9">
        <v>1</v>
      </c>
      <c r="E37" s="15">
        <v>14</v>
      </c>
      <c r="F37" s="9">
        <v>6</v>
      </c>
      <c r="G37" s="5">
        <v>9</v>
      </c>
      <c r="H37" s="5">
        <v>7</v>
      </c>
      <c r="I37" s="7">
        <v>115.01</v>
      </c>
      <c r="J37" s="10">
        <v>40.53</v>
      </c>
      <c r="K37" s="17">
        <f t="shared" si="1"/>
        <v>1.6212</v>
      </c>
      <c r="L37" s="22">
        <v>-22.143110631500001</v>
      </c>
      <c r="M37" s="22">
        <v>-51.660688173799898</v>
      </c>
      <c r="N37" s="19" t="s">
        <v>37</v>
      </c>
      <c r="O37" s="9"/>
    </row>
    <row r="38" spans="1:15">
      <c r="A38" s="5" t="s">
        <v>9</v>
      </c>
      <c r="B38" s="11">
        <v>43538</v>
      </c>
      <c r="C38" s="9" t="s">
        <v>11</v>
      </c>
      <c r="D38" s="9">
        <v>1</v>
      </c>
      <c r="E38" s="14" t="s">
        <v>35</v>
      </c>
      <c r="F38" s="9">
        <v>8</v>
      </c>
      <c r="G38" s="5">
        <v>1</v>
      </c>
      <c r="H38" s="5">
        <v>11</v>
      </c>
      <c r="I38" s="7">
        <v>123.4</v>
      </c>
      <c r="J38" s="10">
        <v>42.88</v>
      </c>
      <c r="K38" s="17">
        <f t="shared" si="1"/>
        <v>1.7152000000000001</v>
      </c>
      <c r="L38" s="22">
        <v>-22.1546542685</v>
      </c>
      <c r="M38" s="22">
        <v>-51.6787056261999</v>
      </c>
      <c r="N38" s="19" t="s">
        <v>37</v>
      </c>
      <c r="O38" s="9"/>
    </row>
    <row r="39" spans="1:15">
      <c r="A39" s="5" t="s">
        <v>9</v>
      </c>
      <c r="B39" s="11">
        <v>43538</v>
      </c>
      <c r="C39" s="9" t="s">
        <v>11</v>
      </c>
      <c r="D39" s="9">
        <v>1</v>
      </c>
      <c r="E39" s="14" t="s">
        <v>35</v>
      </c>
      <c r="F39" s="9">
        <v>8</v>
      </c>
      <c r="G39" s="5">
        <v>2</v>
      </c>
      <c r="H39" s="5">
        <v>12</v>
      </c>
      <c r="I39" s="7">
        <v>277.57</v>
      </c>
      <c r="J39" s="10">
        <v>75.13</v>
      </c>
      <c r="K39" s="17">
        <f t="shared" si="1"/>
        <v>3.0051999999999999</v>
      </c>
      <c r="L39" s="22">
        <v>-22.1546542685</v>
      </c>
      <c r="M39" s="22">
        <v>-51.678125000000001</v>
      </c>
      <c r="N39" s="19" t="s">
        <v>37</v>
      </c>
      <c r="O39" s="9"/>
    </row>
    <row r="40" spans="1:15">
      <c r="A40" s="5" t="s">
        <v>9</v>
      </c>
      <c r="B40" s="11">
        <v>43538</v>
      </c>
      <c r="C40" s="9" t="s">
        <v>11</v>
      </c>
      <c r="D40" s="9">
        <v>1</v>
      </c>
      <c r="E40" s="14" t="s">
        <v>35</v>
      </c>
      <c r="F40" s="9">
        <v>8</v>
      </c>
      <c r="G40" s="5">
        <v>3</v>
      </c>
      <c r="H40" s="5">
        <v>10</v>
      </c>
      <c r="I40" s="7">
        <v>199.08</v>
      </c>
      <c r="J40" s="10">
        <v>56.02</v>
      </c>
      <c r="K40" s="17">
        <f t="shared" si="1"/>
        <v>2.2408000000000001</v>
      </c>
      <c r="L40" s="22">
        <v>-22.1546542685</v>
      </c>
      <c r="M40" s="22">
        <v>-51.677544373800004</v>
      </c>
      <c r="N40" s="19" t="s">
        <v>37</v>
      </c>
      <c r="O40" s="9"/>
    </row>
    <row r="41" spans="1:15">
      <c r="A41" s="5" t="s">
        <v>9</v>
      </c>
      <c r="B41" s="11">
        <v>43538</v>
      </c>
      <c r="C41" s="9" t="s">
        <v>11</v>
      </c>
      <c r="D41" s="9">
        <v>1</v>
      </c>
      <c r="E41" s="14" t="s">
        <v>35</v>
      </c>
      <c r="F41" s="9">
        <v>8</v>
      </c>
      <c r="G41" s="5">
        <v>4</v>
      </c>
      <c r="H41" s="5">
        <v>8</v>
      </c>
      <c r="I41" s="7">
        <v>116.12</v>
      </c>
      <c r="J41" s="10">
        <v>41.22</v>
      </c>
      <c r="K41" s="17">
        <f t="shared" si="1"/>
        <v>1.6488</v>
      </c>
      <c r="L41" s="22">
        <v>-22.155207999999899</v>
      </c>
      <c r="M41" s="22">
        <v>-51.6787056261999</v>
      </c>
      <c r="N41" s="19" t="s">
        <v>37</v>
      </c>
      <c r="O41" s="9"/>
    </row>
    <row r="42" spans="1:15">
      <c r="A42" s="5" t="s">
        <v>9</v>
      </c>
      <c r="B42" s="11">
        <v>43538</v>
      </c>
      <c r="C42" s="9" t="s">
        <v>11</v>
      </c>
      <c r="D42" s="9">
        <v>1</v>
      </c>
      <c r="E42" s="14" t="s">
        <v>35</v>
      </c>
      <c r="F42" s="9">
        <v>8</v>
      </c>
      <c r="G42" s="5">
        <v>5</v>
      </c>
      <c r="H42" s="5">
        <v>12</v>
      </c>
      <c r="I42" s="7">
        <v>230.13</v>
      </c>
      <c r="J42" s="10">
        <v>76.010000000000005</v>
      </c>
      <c r="K42" s="17">
        <f t="shared" si="1"/>
        <v>3.0404</v>
      </c>
      <c r="L42" s="22">
        <v>-22.155207999999899</v>
      </c>
      <c r="M42" s="22">
        <v>-51.678125000000001</v>
      </c>
      <c r="N42" s="19" t="s">
        <v>37</v>
      </c>
      <c r="O42" s="9"/>
    </row>
    <row r="43" spans="1:15">
      <c r="A43" s="5" t="s">
        <v>9</v>
      </c>
      <c r="B43" s="11">
        <v>43538</v>
      </c>
      <c r="C43" s="9" t="s">
        <v>11</v>
      </c>
      <c r="D43" s="9">
        <v>1</v>
      </c>
      <c r="E43" s="14" t="s">
        <v>35</v>
      </c>
      <c r="F43" s="9">
        <v>8</v>
      </c>
      <c r="G43" s="5">
        <v>6</v>
      </c>
      <c r="H43" s="5">
        <v>8</v>
      </c>
      <c r="I43" s="7">
        <v>198.15</v>
      </c>
      <c r="J43" s="10">
        <v>49.05</v>
      </c>
      <c r="K43" s="17">
        <f t="shared" si="1"/>
        <v>1.962</v>
      </c>
      <c r="L43" s="22">
        <v>-22.155207999999899</v>
      </c>
      <c r="M43" s="22">
        <v>-51.677544373800004</v>
      </c>
      <c r="N43" s="19" t="s">
        <v>37</v>
      </c>
      <c r="O43" s="9"/>
    </row>
    <row r="44" spans="1:15">
      <c r="A44" s="5" t="s">
        <v>9</v>
      </c>
      <c r="B44" s="11">
        <v>43538</v>
      </c>
      <c r="C44" s="9" t="s">
        <v>11</v>
      </c>
      <c r="D44" s="9">
        <v>1</v>
      </c>
      <c r="E44" s="14" t="s">
        <v>35</v>
      </c>
      <c r="F44" s="9">
        <v>8</v>
      </c>
      <c r="G44" s="5">
        <v>7</v>
      </c>
      <c r="H44" s="5">
        <v>15</v>
      </c>
      <c r="I44" s="7">
        <v>145.07</v>
      </c>
      <c r="J44" s="10">
        <v>46.53</v>
      </c>
      <c r="K44" s="17">
        <f t="shared" si="1"/>
        <v>1.8612</v>
      </c>
      <c r="L44" s="22">
        <v>-22.1557617315</v>
      </c>
      <c r="M44" s="22">
        <v>-51.6787056261999</v>
      </c>
      <c r="N44" s="19" t="s">
        <v>37</v>
      </c>
      <c r="O44" s="9"/>
    </row>
    <row r="45" spans="1:15">
      <c r="A45" s="5" t="s">
        <v>9</v>
      </c>
      <c r="B45" s="11">
        <v>43538</v>
      </c>
      <c r="C45" s="9" t="s">
        <v>11</v>
      </c>
      <c r="D45" s="9">
        <v>1</v>
      </c>
      <c r="E45" s="14" t="s">
        <v>35</v>
      </c>
      <c r="F45" s="9">
        <v>8</v>
      </c>
      <c r="G45" s="5">
        <v>8</v>
      </c>
      <c r="H45" s="5">
        <v>12</v>
      </c>
      <c r="I45" s="7">
        <v>173.39</v>
      </c>
      <c r="J45" s="10">
        <v>50.5</v>
      </c>
      <c r="K45" s="17">
        <f t="shared" si="1"/>
        <v>2.02</v>
      </c>
      <c r="L45" s="22">
        <v>-22.1557617315</v>
      </c>
      <c r="M45" s="22">
        <v>-51.678125000000001</v>
      </c>
      <c r="N45" s="19" t="s">
        <v>37</v>
      </c>
      <c r="O45" s="9"/>
    </row>
    <row r="46" spans="1:15">
      <c r="A46" s="5" t="s">
        <v>9</v>
      </c>
      <c r="B46" s="11">
        <v>43538</v>
      </c>
      <c r="C46" s="9" t="s">
        <v>11</v>
      </c>
      <c r="D46" s="9">
        <v>1</v>
      </c>
      <c r="E46" s="14" t="s">
        <v>35</v>
      </c>
      <c r="F46" s="9">
        <v>8</v>
      </c>
      <c r="G46" s="5">
        <v>9</v>
      </c>
      <c r="H46" s="5">
        <v>11</v>
      </c>
      <c r="I46" s="7">
        <v>129.32</v>
      </c>
      <c r="J46" s="10">
        <v>45.31</v>
      </c>
      <c r="K46" s="17">
        <f t="shared" si="1"/>
        <v>1.8124</v>
      </c>
      <c r="L46" s="22">
        <v>-22.1557617315</v>
      </c>
      <c r="M46" s="22">
        <v>-51.677544373800004</v>
      </c>
      <c r="N46" s="19" t="s">
        <v>37</v>
      </c>
      <c r="O46" s="9"/>
    </row>
    <row r="47" spans="1:15">
      <c r="A47" s="5" t="s">
        <v>9</v>
      </c>
      <c r="B47" s="11">
        <v>43536</v>
      </c>
      <c r="C47" s="9" t="s">
        <v>20</v>
      </c>
      <c r="D47" s="9">
        <v>1</v>
      </c>
      <c r="E47" s="14" t="s">
        <v>35</v>
      </c>
      <c r="F47" s="9" t="s">
        <v>21</v>
      </c>
      <c r="G47" s="5">
        <v>1</v>
      </c>
      <c r="H47" s="5">
        <v>12</v>
      </c>
      <c r="I47" s="7">
        <v>113.6</v>
      </c>
      <c r="J47" s="10">
        <v>27.57</v>
      </c>
      <c r="K47" s="17">
        <f t="shared" si="1"/>
        <v>1.1028</v>
      </c>
      <c r="L47" s="22">
        <v>-22.1524462685</v>
      </c>
      <c r="M47" s="22">
        <v>-51.678580626200002</v>
      </c>
      <c r="N47" s="19" t="s">
        <v>37</v>
      </c>
      <c r="O47" s="9"/>
    </row>
    <row r="48" spans="1:15">
      <c r="A48" s="5" t="s">
        <v>9</v>
      </c>
      <c r="B48" s="11">
        <v>43536</v>
      </c>
      <c r="C48" s="9" t="s">
        <v>20</v>
      </c>
      <c r="D48" s="9">
        <v>1</v>
      </c>
      <c r="E48" s="14" t="s">
        <v>35</v>
      </c>
      <c r="F48" s="9" t="s">
        <v>21</v>
      </c>
      <c r="G48" s="5">
        <v>2</v>
      </c>
      <c r="H48" s="5">
        <v>13</v>
      </c>
      <c r="I48" s="7">
        <v>141.53</v>
      </c>
      <c r="J48" s="10">
        <v>29.38</v>
      </c>
      <c r="K48" s="17">
        <f t="shared" si="1"/>
        <v>1.1752</v>
      </c>
      <c r="L48" s="22">
        <v>-22.1524462685</v>
      </c>
      <c r="M48" s="22">
        <v>-51.677999999999898</v>
      </c>
      <c r="N48" s="19" t="s">
        <v>37</v>
      </c>
      <c r="O48" s="9"/>
    </row>
    <row r="49" spans="1:15">
      <c r="A49" s="5" t="s">
        <v>9</v>
      </c>
      <c r="B49" s="11">
        <v>43536</v>
      </c>
      <c r="C49" s="9" t="s">
        <v>20</v>
      </c>
      <c r="D49" s="9">
        <v>1</v>
      </c>
      <c r="E49" s="14" t="s">
        <v>35</v>
      </c>
      <c r="F49" s="9" t="s">
        <v>21</v>
      </c>
      <c r="G49" s="5">
        <v>3</v>
      </c>
      <c r="H49" s="5">
        <v>13</v>
      </c>
      <c r="I49" s="7">
        <v>162.96</v>
      </c>
      <c r="J49" s="10">
        <v>41.03</v>
      </c>
      <c r="K49" s="17">
        <f t="shared" si="1"/>
        <v>1.6412</v>
      </c>
      <c r="L49" s="22">
        <v>-22.1524462685</v>
      </c>
      <c r="M49" s="22">
        <v>-51.6774193737999</v>
      </c>
      <c r="N49" s="19" t="s">
        <v>37</v>
      </c>
      <c r="O49" s="9"/>
    </row>
    <row r="50" spans="1:15">
      <c r="A50" s="5" t="s">
        <v>9</v>
      </c>
      <c r="B50" s="11">
        <v>43536</v>
      </c>
      <c r="C50" s="9" t="s">
        <v>20</v>
      </c>
      <c r="D50" s="9">
        <v>1</v>
      </c>
      <c r="E50" s="14" t="s">
        <v>35</v>
      </c>
      <c r="F50" s="9" t="s">
        <v>21</v>
      </c>
      <c r="G50" s="5">
        <v>4</v>
      </c>
      <c r="H50" s="5">
        <v>14</v>
      </c>
      <c r="I50" s="7">
        <v>187.73</v>
      </c>
      <c r="J50" s="10">
        <v>49.68</v>
      </c>
      <c r="K50" s="17">
        <f t="shared" si="1"/>
        <v>1.9872000000000001</v>
      </c>
      <c r="L50" s="22">
        <v>-22.152999999999899</v>
      </c>
      <c r="M50" s="22">
        <v>-51.678580626200002</v>
      </c>
      <c r="N50" s="19" t="s">
        <v>37</v>
      </c>
      <c r="O50" s="9"/>
    </row>
    <row r="51" spans="1:15">
      <c r="A51" s="5" t="s">
        <v>9</v>
      </c>
      <c r="B51" s="11">
        <v>43536</v>
      </c>
      <c r="C51" s="9" t="s">
        <v>20</v>
      </c>
      <c r="D51" s="9">
        <v>1</v>
      </c>
      <c r="E51" s="14" t="s">
        <v>35</v>
      </c>
      <c r="F51" s="9" t="s">
        <v>21</v>
      </c>
      <c r="G51" s="5">
        <v>5</v>
      </c>
      <c r="H51" s="5">
        <v>13</v>
      </c>
      <c r="I51" s="7">
        <v>136.15</v>
      </c>
      <c r="J51" s="10">
        <v>29.74</v>
      </c>
      <c r="K51" s="17">
        <f t="shared" si="1"/>
        <v>1.1896</v>
      </c>
      <c r="L51" s="22">
        <v>-22.152999999999899</v>
      </c>
      <c r="M51" s="22">
        <v>-51.677999999999898</v>
      </c>
      <c r="N51" s="19" t="s">
        <v>37</v>
      </c>
      <c r="O51" s="9"/>
    </row>
    <row r="52" spans="1:15">
      <c r="A52" s="5" t="s">
        <v>9</v>
      </c>
      <c r="B52" s="11">
        <v>43536</v>
      </c>
      <c r="C52" s="9" t="s">
        <v>20</v>
      </c>
      <c r="D52" s="9">
        <v>1</v>
      </c>
      <c r="E52" s="14" t="s">
        <v>35</v>
      </c>
      <c r="F52" s="9" t="s">
        <v>21</v>
      </c>
      <c r="G52" s="5">
        <v>6</v>
      </c>
      <c r="H52" s="5">
        <v>10</v>
      </c>
      <c r="I52" s="7">
        <v>121.81</v>
      </c>
      <c r="J52" s="10">
        <v>31.84</v>
      </c>
      <c r="K52" s="17">
        <f t="shared" si="1"/>
        <v>1.2736000000000001</v>
      </c>
      <c r="L52" s="22">
        <v>-22.152999999999899</v>
      </c>
      <c r="M52" s="22">
        <v>-51.6774193737999</v>
      </c>
      <c r="N52" s="19" t="s">
        <v>37</v>
      </c>
      <c r="O52" s="9"/>
    </row>
    <row r="53" spans="1:15">
      <c r="A53" s="5" t="s">
        <v>9</v>
      </c>
      <c r="B53" s="11">
        <v>43536</v>
      </c>
      <c r="C53" s="9" t="s">
        <v>20</v>
      </c>
      <c r="D53" s="9">
        <v>1</v>
      </c>
      <c r="E53" s="14" t="s">
        <v>35</v>
      </c>
      <c r="F53" s="9" t="s">
        <v>21</v>
      </c>
      <c r="G53" s="5">
        <v>7</v>
      </c>
      <c r="H53" s="5">
        <v>14</v>
      </c>
      <c r="I53" s="7">
        <v>164.24</v>
      </c>
      <c r="J53" s="10">
        <v>44</v>
      </c>
      <c r="K53" s="17">
        <f t="shared" si="1"/>
        <v>1.76</v>
      </c>
      <c r="L53" s="22">
        <v>-22.153553731500001</v>
      </c>
      <c r="M53" s="22">
        <v>-51.678580626200002</v>
      </c>
      <c r="N53" s="19" t="s">
        <v>37</v>
      </c>
      <c r="O53" s="9"/>
    </row>
    <row r="54" spans="1:15">
      <c r="A54" s="5" t="s">
        <v>9</v>
      </c>
      <c r="B54" s="11">
        <v>43536</v>
      </c>
      <c r="C54" s="9" t="s">
        <v>20</v>
      </c>
      <c r="D54" s="9">
        <v>1</v>
      </c>
      <c r="E54" s="14" t="s">
        <v>35</v>
      </c>
      <c r="F54" s="9" t="s">
        <v>21</v>
      </c>
      <c r="G54" s="5">
        <v>8</v>
      </c>
      <c r="H54" s="5">
        <v>8</v>
      </c>
      <c r="I54" s="7">
        <v>100.3</v>
      </c>
      <c r="J54" s="10">
        <v>27.67</v>
      </c>
      <c r="K54" s="17">
        <f t="shared" si="1"/>
        <v>1.1068</v>
      </c>
      <c r="L54" s="22">
        <v>-22.153553731500001</v>
      </c>
      <c r="M54" s="22">
        <v>-51.677999999999898</v>
      </c>
      <c r="N54" s="19" t="s">
        <v>37</v>
      </c>
      <c r="O54" s="9"/>
    </row>
    <row r="55" spans="1:15">
      <c r="A55" s="5" t="s">
        <v>9</v>
      </c>
      <c r="B55" s="11">
        <v>43536</v>
      </c>
      <c r="C55" s="9" t="s">
        <v>20</v>
      </c>
      <c r="D55" s="9">
        <v>1</v>
      </c>
      <c r="E55" s="14" t="s">
        <v>35</v>
      </c>
      <c r="F55" s="9" t="s">
        <v>21</v>
      </c>
      <c r="G55" s="5">
        <v>9</v>
      </c>
      <c r="H55" s="5">
        <v>13</v>
      </c>
      <c r="I55" s="7">
        <v>124.7</v>
      </c>
      <c r="J55" s="10">
        <v>35.74</v>
      </c>
      <c r="K55" s="17">
        <f t="shared" si="1"/>
        <v>1.4296</v>
      </c>
      <c r="L55" s="22">
        <v>-22.153553731500001</v>
      </c>
      <c r="M55" s="22">
        <v>-51.6774193737999</v>
      </c>
      <c r="N55" s="19" t="s">
        <v>37</v>
      </c>
      <c r="O55" s="9"/>
    </row>
    <row r="56" spans="1:15">
      <c r="A56" s="5" t="s">
        <v>9</v>
      </c>
      <c r="B56" s="11">
        <v>43536</v>
      </c>
      <c r="C56" s="9" t="s">
        <v>12</v>
      </c>
      <c r="D56" s="5">
        <v>2</v>
      </c>
      <c r="E56" s="13">
        <v>2</v>
      </c>
      <c r="F56" s="9">
        <v>13</v>
      </c>
      <c r="G56" s="5">
        <v>1</v>
      </c>
      <c r="H56" s="5">
        <v>16</v>
      </c>
      <c r="I56" s="7">
        <v>200.55</v>
      </c>
      <c r="J56" s="10">
        <v>48.64</v>
      </c>
      <c r="K56" s="17">
        <f t="shared" si="1"/>
        <v>1.9456</v>
      </c>
      <c r="L56" s="22">
        <v>-22.171321278499899</v>
      </c>
      <c r="M56" s="22">
        <v>-51.6555806261999</v>
      </c>
      <c r="N56" s="19" t="s">
        <v>37</v>
      </c>
      <c r="O56" s="9"/>
    </row>
    <row r="57" spans="1:15">
      <c r="A57" s="5" t="s">
        <v>9</v>
      </c>
      <c r="B57" s="11">
        <v>43536</v>
      </c>
      <c r="C57" s="9" t="s">
        <v>12</v>
      </c>
      <c r="D57" s="5">
        <v>2</v>
      </c>
      <c r="E57" s="13">
        <v>2</v>
      </c>
      <c r="F57" s="9">
        <v>13</v>
      </c>
      <c r="G57" s="5">
        <v>2</v>
      </c>
      <c r="H57" s="5">
        <v>21</v>
      </c>
      <c r="I57" s="7">
        <v>198.8</v>
      </c>
      <c r="J57" s="10">
        <v>57.64</v>
      </c>
      <c r="K57" s="17">
        <f t="shared" si="1"/>
        <v>2.3056000000000001</v>
      </c>
      <c r="L57" s="22">
        <v>-22.171321278499899</v>
      </c>
      <c r="M57" s="22">
        <v>-51.655000000000001</v>
      </c>
      <c r="N57" s="19" t="s">
        <v>37</v>
      </c>
      <c r="O57" s="9"/>
    </row>
    <row r="58" spans="1:15">
      <c r="A58" s="5" t="s">
        <v>9</v>
      </c>
      <c r="B58" s="11">
        <v>43536</v>
      </c>
      <c r="C58" s="9" t="s">
        <v>12</v>
      </c>
      <c r="D58" s="5">
        <v>2</v>
      </c>
      <c r="E58" s="13">
        <v>2</v>
      </c>
      <c r="F58" s="9">
        <v>13</v>
      </c>
      <c r="G58" s="5">
        <v>3</v>
      </c>
      <c r="H58" s="5">
        <v>15</v>
      </c>
      <c r="I58" s="7">
        <v>144.08000000000001</v>
      </c>
      <c r="J58" s="10">
        <v>43.73</v>
      </c>
      <c r="K58" s="17">
        <f t="shared" si="1"/>
        <v>1.7491999999999999</v>
      </c>
      <c r="L58" s="22">
        <v>-22.171321278499899</v>
      </c>
      <c r="M58" s="22">
        <v>-51.654419373800003</v>
      </c>
      <c r="N58" s="19" t="s">
        <v>37</v>
      </c>
      <c r="O58" s="9"/>
    </row>
    <row r="59" spans="1:15">
      <c r="A59" s="5" t="s">
        <v>9</v>
      </c>
      <c r="B59" s="11">
        <v>43536</v>
      </c>
      <c r="C59" s="9" t="s">
        <v>12</v>
      </c>
      <c r="D59" s="5">
        <v>2</v>
      </c>
      <c r="E59" s="13">
        <v>2</v>
      </c>
      <c r="F59" s="9">
        <v>13</v>
      </c>
      <c r="G59" s="5">
        <v>4</v>
      </c>
      <c r="H59" s="5">
        <v>28</v>
      </c>
      <c r="I59" s="7">
        <v>205.78</v>
      </c>
      <c r="J59" s="10">
        <v>53.87</v>
      </c>
      <c r="K59" s="17">
        <f t="shared" si="1"/>
        <v>2.1547999999999998</v>
      </c>
      <c r="L59" s="22">
        <v>-22.171875010000001</v>
      </c>
      <c r="M59" s="22">
        <v>-51.6555806261999</v>
      </c>
      <c r="N59" s="19" t="s">
        <v>37</v>
      </c>
      <c r="O59" s="9"/>
    </row>
    <row r="60" spans="1:15">
      <c r="A60" s="5" t="s">
        <v>9</v>
      </c>
      <c r="B60" s="11">
        <v>43536</v>
      </c>
      <c r="C60" s="9" t="s">
        <v>12</v>
      </c>
      <c r="D60" s="5">
        <v>2</v>
      </c>
      <c r="E60" s="13">
        <v>2</v>
      </c>
      <c r="F60" s="9">
        <v>13</v>
      </c>
      <c r="G60" s="5">
        <v>5</v>
      </c>
      <c r="H60" s="5">
        <v>23</v>
      </c>
      <c r="I60" s="7">
        <v>254.1</v>
      </c>
      <c r="J60" s="10">
        <v>74.5</v>
      </c>
      <c r="K60" s="17">
        <f t="shared" si="1"/>
        <v>2.98</v>
      </c>
      <c r="L60" s="22">
        <v>-22.171875010000001</v>
      </c>
      <c r="M60" s="22">
        <v>-51.655000000000001</v>
      </c>
      <c r="N60" s="19" t="s">
        <v>37</v>
      </c>
      <c r="O60" s="9"/>
    </row>
    <row r="61" spans="1:15">
      <c r="A61" s="5" t="s">
        <v>9</v>
      </c>
      <c r="B61" s="11">
        <v>43536</v>
      </c>
      <c r="C61" s="9" t="s">
        <v>12</v>
      </c>
      <c r="D61" s="5">
        <v>2</v>
      </c>
      <c r="E61" s="13">
        <v>2</v>
      </c>
      <c r="F61" s="9">
        <v>13</v>
      </c>
      <c r="G61" s="5">
        <v>6</v>
      </c>
      <c r="H61" s="5">
        <v>20</v>
      </c>
      <c r="I61" s="7">
        <v>144.08000000000001</v>
      </c>
      <c r="J61" s="10">
        <v>46.36</v>
      </c>
      <c r="K61" s="17">
        <f t="shared" si="1"/>
        <v>1.8544</v>
      </c>
      <c r="L61" s="22">
        <v>-22.171875010000001</v>
      </c>
      <c r="M61" s="22">
        <v>-51.654419373800003</v>
      </c>
      <c r="N61" s="19" t="s">
        <v>37</v>
      </c>
      <c r="O61" s="9"/>
    </row>
    <row r="62" spans="1:15">
      <c r="A62" s="5" t="s">
        <v>9</v>
      </c>
      <c r="B62" s="11">
        <v>43536</v>
      </c>
      <c r="C62" s="9" t="s">
        <v>12</v>
      </c>
      <c r="D62" s="5">
        <v>2</v>
      </c>
      <c r="E62" s="13">
        <v>2</v>
      </c>
      <c r="F62" s="9">
        <v>13</v>
      </c>
      <c r="G62" s="5">
        <v>7</v>
      </c>
      <c r="H62" s="5">
        <v>15</v>
      </c>
      <c r="I62" s="7">
        <v>161.27000000000001</v>
      </c>
      <c r="J62" s="10">
        <v>43.8</v>
      </c>
      <c r="K62" s="17">
        <f t="shared" si="1"/>
        <v>1.752</v>
      </c>
      <c r="L62" s="22">
        <v>-22.1724287414999</v>
      </c>
      <c r="M62" s="22">
        <v>-51.6555806261999</v>
      </c>
      <c r="N62" s="19" t="s">
        <v>37</v>
      </c>
      <c r="O62" s="9"/>
    </row>
    <row r="63" spans="1:15">
      <c r="A63" s="5" t="s">
        <v>9</v>
      </c>
      <c r="B63" s="11">
        <v>43536</v>
      </c>
      <c r="C63" s="9" t="s">
        <v>12</v>
      </c>
      <c r="D63" s="5">
        <v>2</v>
      </c>
      <c r="E63" s="13">
        <v>2</v>
      </c>
      <c r="F63" s="9">
        <v>13</v>
      </c>
      <c r="G63" s="5">
        <v>8</v>
      </c>
      <c r="H63" s="5">
        <v>22</v>
      </c>
      <c r="I63" s="7">
        <v>171.92</v>
      </c>
      <c r="J63" s="10">
        <v>47.8</v>
      </c>
      <c r="K63" s="17">
        <f t="shared" si="1"/>
        <v>1.9119999999999999</v>
      </c>
      <c r="L63" s="22">
        <v>-22.1724287414999</v>
      </c>
      <c r="M63" s="22">
        <v>-51.655000000000001</v>
      </c>
      <c r="N63" s="19" t="s">
        <v>37</v>
      </c>
      <c r="O63" s="9"/>
    </row>
    <row r="64" spans="1:15">
      <c r="A64" s="5" t="s">
        <v>9</v>
      </c>
      <c r="B64" s="11">
        <v>43536</v>
      </c>
      <c r="C64" s="9" t="s">
        <v>12</v>
      </c>
      <c r="D64" s="5">
        <v>2</v>
      </c>
      <c r="E64" s="13">
        <v>2</v>
      </c>
      <c r="F64" s="9">
        <v>13</v>
      </c>
      <c r="G64" s="5">
        <v>9</v>
      </c>
      <c r="H64" s="5">
        <v>23</v>
      </c>
      <c r="I64" s="7">
        <v>143.87</v>
      </c>
      <c r="J64" s="10">
        <v>29.15</v>
      </c>
      <c r="K64" s="17">
        <f t="shared" si="1"/>
        <v>1.1659999999999999</v>
      </c>
      <c r="L64" s="22">
        <v>-22.1724287414999</v>
      </c>
      <c r="M64" s="22">
        <v>-51.654419373800003</v>
      </c>
      <c r="N64" s="19" t="s">
        <v>37</v>
      </c>
      <c r="O64" s="9"/>
    </row>
    <row r="65" spans="1:15">
      <c r="A65" s="5" t="s">
        <v>9</v>
      </c>
      <c r="B65" s="11">
        <v>43536</v>
      </c>
      <c r="C65" s="9" t="s">
        <v>22</v>
      </c>
      <c r="D65" s="5">
        <v>2</v>
      </c>
      <c r="E65" s="13">
        <v>2</v>
      </c>
      <c r="F65" s="9">
        <v>17</v>
      </c>
      <c r="G65" s="5">
        <v>1</v>
      </c>
      <c r="H65" s="5">
        <v>31</v>
      </c>
      <c r="I65" s="7">
        <v>297.87</v>
      </c>
      <c r="J65" s="10">
        <v>62.24</v>
      </c>
      <c r="K65" s="17">
        <f t="shared" si="1"/>
        <v>2.4895999999999998</v>
      </c>
      <c r="L65" s="22">
        <v>-22.173404611799899</v>
      </c>
      <c r="M65" s="22">
        <v>-51.657580626200001</v>
      </c>
      <c r="N65" s="19" t="s">
        <v>37</v>
      </c>
      <c r="O65" s="9"/>
    </row>
    <row r="66" spans="1:15">
      <c r="A66" s="5" t="s">
        <v>9</v>
      </c>
      <c r="B66" s="11">
        <v>43536</v>
      </c>
      <c r="C66" s="9" t="s">
        <v>22</v>
      </c>
      <c r="D66" s="5">
        <v>2</v>
      </c>
      <c r="E66" s="13">
        <v>2</v>
      </c>
      <c r="F66" s="9">
        <v>17</v>
      </c>
      <c r="G66" s="5">
        <v>2</v>
      </c>
      <c r="H66" s="5">
        <v>41</v>
      </c>
      <c r="I66" s="7">
        <v>263.95999999999998</v>
      </c>
      <c r="J66" s="10">
        <v>84.77</v>
      </c>
      <c r="K66" s="17">
        <f t="shared" si="1"/>
        <v>3.3908</v>
      </c>
      <c r="L66" s="22">
        <v>-22.173404611799899</v>
      </c>
      <c r="M66" s="22">
        <v>-51.656999999999897</v>
      </c>
      <c r="N66" s="19" t="s">
        <v>37</v>
      </c>
      <c r="O66" s="9"/>
    </row>
    <row r="67" spans="1:15">
      <c r="A67" s="5" t="s">
        <v>9</v>
      </c>
      <c r="B67" s="11">
        <v>43536</v>
      </c>
      <c r="C67" s="9" t="s">
        <v>22</v>
      </c>
      <c r="D67" s="5">
        <v>2</v>
      </c>
      <c r="E67" s="13">
        <v>2</v>
      </c>
      <c r="F67" s="9">
        <v>17</v>
      </c>
      <c r="G67" s="5">
        <v>3</v>
      </c>
      <c r="H67" s="5">
        <v>29</v>
      </c>
      <c r="I67" s="7">
        <v>299.23</v>
      </c>
      <c r="J67" s="10">
        <v>91.46</v>
      </c>
      <c r="K67" s="17">
        <f t="shared" si="1"/>
        <v>3.6583999999999994</v>
      </c>
      <c r="L67" s="22">
        <v>-22.173404611799899</v>
      </c>
      <c r="M67" s="22">
        <v>-51.656419373799899</v>
      </c>
      <c r="N67" s="19" t="s">
        <v>37</v>
      </c>
      <c r="O67" s="9"/>
    </row>
    <row r="68" spans="1:15">
      <c r="A68" s="5" t="s">
        <v>9</v>
      </c>
      <c r="B68" s="11">
        <v>43536</v>
      </c>
      <c r="C68" s="9" t="s">
        <v>22</v>
      </c>
      <c r="D68" s="5">
        <v>2</v>
      </c>
      <c r="E68" s="13">
        <v>2</v>
      </c>
      <c r="F68" s="9">
        <v>17</v>
      </c>
      <c r="G68" s="5">
        <v>4</v>
      </c>
      <c r="H68" s="5">
        <v>23</v>
      </c>
      <c r="I68" s="7">
        <v>189.35</v>
      </c>
      <c r="J68" s="10">
        <v>60.77</v>
      </c>
      <c r="K68" s="17">
        <f t="shared" si="1"/>
        <v>2.4308000000000001</v>
      </c>
      <c r="L68" s="22">
        <v>-22.173958343300001</v>
      </c>
      <c r="M68" s="22">
        <v>-51.657580626200001</v>
      </c>
      <c r="N68" s="19" t="s">
        <v>37</v>
      </c>
      <c r="O68" s="9"/>
    </row>
    <row r="69" spans="1:15">
      <c r="A69" s="5" t="s">
        <v>9</v>
      </c>
      <c r="B69" s="11">
        <v>43536</v>
      </c>
      <c r="C69" s="9" t="s">
        <v>22</v>
      </c>
      <c r="D69" s="5">
        <v>2</v>
      </c>
      <c r="E69" s="13">
        <v>2</v>
      </c>
      <c r="F69" s="9">
        <v>17</v>
      </c>
      <c r="G69" s="5">
        <v>5</v>
      </c>
      <c r="H69" s="5">
        <v>20</v>
      </c>
      <c r="I69" s="7">
        <v>138.22999999999999</v>
      </c>
      <c r="J69" s="10">
        <v>44.29</v>
      </c>
      <c r="K69" s="17">
        <f t="shared" si="1"/>
        <v>1.7716000000000001</v>
      </c>
      <c r="L69" s="22">
        <v>-22.173958343300001</v>
      </c>
      <c r="M69" s="22">
        <v>-51.656999999999897</v>
      </c>
      <c r="N69" s="19" t="s">
        <v>37</v>
      </c>
      <c r="O69" s="9"/>
    </row>
    <row r="70" spans="1:15">
      <c r="A70" s="5" t="s">
        <v>9</v>
      </c>
      <c r="B70" s="11">
        <v>43536</v>
      </c>
      <c r="C70" s="9" t="s">
        <v>22</v>
      </c>
      <c r="D70" s="5">
        <v>2</v>
      </c>
      <c r="E70" s="13">
        <v>2</v>
      </c>
      <c r="F70" s="9">
        <v>17</v>
      </c>
      <c r="G70" s="5">
        <v>6</v>
      </c>
      <c r="H70" s="5">
        <v>23</v>
      </c>
      <c r="I70" s="7">
        <v>296.73</v>
      </c>
      <c r="J70" s="10">
        <v>85.45</v>
      </c>
      <c r="K70" s="17">
        <f t="shared" si="1"/>
        <v>3.4180000000000001</v>
      </c>
      <c r="L70" s="22">
        <v>-22.173958343300001</v>
      </c>
      <c r="M70" s="22">
        <v>-51.656419373799899</v>
      </c>
      <c r="N70" s="19" t="s">
        <v>37</v>
      </c>
      <c r="O70" s="9"/>
    </row>
    <row r="71" spans="1:15">
      <c r="A71" s="5" t="s">
        <v>9</v>
      </c>
      <c r="B71" s="11">
        <v>43536</v>
      </c>
      <c r="C71" s="9" t="s">
        <v>22</v>
      </c>
      <c r="D71" s="5">
        <v>2</v>
      </c>
      <c r="E71" s="13">
        <v>2</v>
      </c>
      <c r="F71" s="9">
        <v>17</v>
      </c>
      <c r="G71" s="5">
        <v>7</v>
      </c>
      <c r="H71" s="5">
        <v>33</v>
      </c>
      <c r="I71" s="7">
        <v>180.57</v>
      </c>
      <c r="J71" s="10">
        <v>65.06</v>
      </c>
      <c r="K71" s="17">
        <f t="shared" si="1"/>
        <v>2.6023999999999998</v>
      </c>
      <c r="L71" s="22">
        <v>-22.174512074900001</v>
      </c>
      <c r="M71" s="22">
        <v>-51.657580626200001</v>
      </c>
      <c r="N71" s="19" t="s">
        <v>37</v>
      </c>
      <c r="O71" s="9"/>
    </row>
    <row r="72" spans="1:15">
      <c r="A72" s="5" t="s">
        <v>9</v>
      </c>
      <c r="B72" s="11">
        <v>43536</v>
      </c>
      <c r="C72" s="9" t="s">
        <v>22</v>
      </c>
      <c r="D72" s="5">
        <v>2</v>
      </c>
      <c r="E72" s="13">
        <v>2</v>
      </c>
      <c r="F72" s="9">
        <v>17</v>
      </c>
      <c r="G72" s="5">
        <v>8</v>
      </c>
      <c r="H72" s="5">
        <v>27</v>
      </c>
      <c r="I72" s="7">
        <v>185.97</v>
      </c>
      <c r="J72" s="10">
        <v>46.71</v>
      </c>
      <c r="K72" s="17">
        <f t="shared" si="1"/>
        <v>1.8684000000000001</v>
      </c>
      <c r="L72" s="22">
        <v>-22.174512074900001</v>
      </c>
      <c r="M72" s="22">
        <v>-51.656999999999897</v>
      </c>
      <c r="N72" s="19" t="s">
        <v>37</v>
      </c>
      <c r="O72" s="9"/>
    </row>
    <row r="73" spans="1:15">
      <c r="A73" s="5" t="s">
        <v>9</v>
      </c>
      <c r="B73" s="11">
        <v>43536</v>
      </c>
      <c r="C73" s="9" t="s">
        <v>22</v>
      </c>
      <c r="D73" s="5">
        <v>2</v>
      </c>
      <c r="E73" s="13">
        <v>2</v>
      </c>
      <c r="F73" s="9">
        <v>17</v>
      </c>
      <c r="G73" s="5">
        <v>9</v>
      </c>
      <c r="H73" s="5">
        <v>38</v>
      </c>
      <c r="I73" s="7">
        <v>320.02</v>
      </c>
      <c r="J73" s="10">
        <v>99.49</v>
      </c>
      <c r="K73" s="17">
        <f t="shared" si="1"/>
        <v>3.9796</v>
      </c>
      <c r="L73" s="22">
        <v>-22.174512074900001</v>
      </c>
      <c r="M73" s="22">
        <v>-51.656419373799899</v>
      </c>
      <c r="N73" s="19" t="s">
        <v>37</v>
      </c>
      <c r="O73" s="9"/>
    </row>
    <row r="74" spans="1:15">
      <c r="A74" s="5" t="s">
        <v>9</v>
      </c>
      <c r="B74" s="11">
        <v>43538</v>
      </c>
      <c r="C74" s="9" t="s">
        <v>19</v>
      </c>
      <c r="D74" s="5">
        <v>2</v>
      </c>
      <c r="E74" s="13">
        <v>16</v>
      </c>
      <c r="F74" s="9">
        <v>1</v>
      </c>
      <c r="G74" s="5">
        <v>1</v>
      </c>
      <c r="H74" s="5">
        <v>13</v>
      </c>
      <c r="I74" s="7">
        <v>94.47</v>
      </c>
      <c r="J74" s="10">
        <v>25.68</v>
      </c>
      <c r="K74" s="17">
        <f t="shared" si="1"/>
        <v>1.0271999999999999</v>
      </c>
      <c r="L74" s="22">
        <v>-22.160823705399899</v>
      </c>
      <c r="M74" s="22">
        <v>-51.625307426900001</v>
      </c>
      <c r="N74" s="20" t="s">
        <v>36</v>
      </c>
      <c r="O74" s="9"/>
    </row>
    <row r="75" spans="1:15">
      <c r="A75" s="5" t="s">
        <v>9</v>
      </c>
      <c r="B75" s="11">
        <v>43538</v>
      </c>
      <c r="C75" s="9" t="s">
        <v>19</v>
      </c>
      <c r="D75" s="5">
        <v>2</v>
      </c>
      <c r="E75" s="13">
        <v>16</v>
      </c>
      <c r="F75" s="9">
        <v>1</v>
      </c>
      <c r="G75" s="5">
        <v>2</v>
      </c>
      <c r="H75" s="5">
        <v>9</v>
      </c>
      <c r="I75" s="7">
        <v>116.02</v>
      </c>
      <c r="J75" s="10">
        <v>47.52</v>
      </c>
      <c r="K75" s="17">
        <f t="shared" si="1"/>
        <v>1.9008000000000003</v>
      </c>
      <c r="L75" s="22">
        <v>-22.160823705399899</v>
      </c>
      <c r="M75" s="22">
        <v>-51.624726800700003</v>
      </c>
      <c r="N75" s="20" t="s">
        <v>36</v>
      </c>
      <c r="O75" s="9"/>
    </row>
    <row r="76" spans="1:15">
      <c r="A76" s="5" t="s">
        <v>9</v>
      </c>
      <c r="B76" s="11">
        <v>43538</v>
      </c>
      <c r="C76" s="9" t="s">
        <v>19</v>
      </c>
      <c r="D76" s="5">
        <v>2</v>
      </c>
      <c r="E76" s="13">
        <v>16</v>
      </c>
      <c r="F76" s="9">
        <v>1</v>
      </c>
      <c r="G76" s="5">
        <v>3</v>
      </c>
      <c r="H76" s="5">
        <v>14</v>
      </c>
      <c r="I76" s="7">
        <v>140.04</v>
      </c>
      <c r="J76" s="10">
        <v>30.86</v>
      </c>
      <c r="K76" s="17">
        <f t="shared" si="1"/>
        <v>1.2343999999999999</v>
      </c>
      <c r="L76" s="22">
        <v>-22.160823705399899</v>
      </c>
      <c r="M76" s="22">
        <v>-51.624146174499899</v>
      </c>
      <c r="N76" s="20" t="s">
        <v>36</v>
      </c>
      <c r="O76" s="9"/>
    </row>
    <row r="77" spans="1:15">
      <c r="A77" s="5" t="s">
        <v>9</v>
      </c>
      <c r="B77" s="11">
        <v>43538</v>
      </c>
      <c r="C77" s="9" t="s">
        <v>19</v>
      </c>
      <c r="D77" s="5">
        <v>2</v>
      </c>
      <c r="E77" s="13">
        <v>16</v>
      </c>
      <c r="F77" s="9">
        <v>1</v>
      </c>
      <c r="G77" s="5">
        <v>4</v>
      </c>
      <c r="H77" s="5">
        <v>7</v>
      </c>
      <c r="I77" s="7">
        <v>77.31</v>
      </c>
      <c r="J77" s="10">
        <v>17.68</v>
      </c>
      <c r="K77" s="17">
        <f t="shared" ref="K77:K118" si="2">(J77/0.25)*(10000)/1000000</f>
        <v>0.70720000000000005</v>
      </c>
      <c r="L77" s="22">
        <v>-22.161377436900001</v>
      </c>
      <c r="M77" s="22">
        <v>-51.625307426900001</v>
      </c>
      <c r="N77" s="20" t="s">
        <v>36</v>
      </c>
      <c r="O77" s="9"/>
    </row>
    <row r="78" spans="1:15">
      <c r="A78" s="5" t="s">
        <v>9</v>
      </c>
      <c r="B78" s="11">
        <v>43538</v>
      </c>
      <c r="C78" s="9" t="s">
        <v>19</v>
      </c>
      <c r="D78" s="5">
        <v>2</v>
      </c>
      <c r="E78" s="13">
        <v>16</v>
      </c>
      <c r="F78" s="9">
        <v>1</v>
      </c>
      <c r="G78" s="5">
        <v>5</v>
      </c>
      <c r="H78" s="5">
        <v>9</v>
      </c>
      <c r="I78" s="7">
        <v>81.95</v>
      </c>
      <c r="J78" s="10">
        <v>18.39</v>
      </c>
      <c r="K78" s="17">
        <f t="shared" si="2"/>
        <v>0.73560000000000003</v>
      </c>
      <c r="L78" s="22">
        <v>-22.161377436900001</v>
      </c>
      <c r="M78" s="22">
        <v>-51.624726800700003</v>
      </c>
      <c r="N78" s="20" t="s">
        <v>36</v>
      </c>
      <c r="O78" s="9"/>
    </row>
    <row r="79" spans="1:15">
      <c r="A79" s="5" t="s">
        <v>9</v>
      </c>
      <c r="B79" s="11">
        <v>43538</v>
      </c>
      <c r="C79" s="9" t="s">
        <v>19</v>
      </c>
      <c r="D79" s="5">
        <v>2</v>
      </c>
      <c r="E79" s="13">
        <v>16</v>
      </c>
      <c r="F79" s="9">
        <v>1</v>
      </c>
      <c r="G79" s="5">
        <v>6</v>
      </c>
      <c r="H79" s="5">
        <v>8</v>
      </c>
      <c r="I79" s="7">
        <v>76.900000000000006</v>
      </c>
      <c r="J79" s="10">
        <v>11.77</v>
      </c>
      <c r="K79" s="17">
        <f t="shared" si="2"/>
        <v>0.4708</v>
      </c>
      <c r="L79" s="22">
        <v>-22.161377436900001</v>
      </c>
      <c r="M79" s="22">
        <v>-51.624146174499899</v>
      </c>
      <c r="N79" s="20" t="s">
        <v>36</v>
      </c>
      <c r="O79" s="9"/>
    </row>
    <row r="80" spans="1:15">
      <c r="A80" s="5" t="s">
        <v>9</v>
      </c>
      <c r="B80" s="11">
        <v>43538</v>
      </c>
      <c r="C80" s="9" t="s">
        <v>19</v>
      </c>
      <c r="D80" s="5">
        <v>2</v>
      </c>
      <c r="E80" s="13">
        <v>16</v>
      </c>
      <c r="F80" s="9">
        <v>1</v>
      </c>
      <c r="G80" s="5">
        <v>7</v>
      </c>
      <c r="H80" s="5">
        <v>12</v>
      </c>
      <c r="I80" s="7">
        <v>64.33</v>
      </c>
      <c r="J80" s="10">
        <v>15.75</v>
      </c>
      <c r="K80" s="17">
        <f t="shared" si="2"/>
        <v>0.63</v>
      </c>
      <c r="L80" s="22">
        <v>-22.161931168399899</v>
      </c>
      <c r="M80" s="22">
        <v>-51.625307426900001</v>
      </c>
      <c r="N80" s="20" t="s">
        <v>36</v>
      </c>
      <c r="O80" s="9"/>
    </row>
    <row r="81" spans="1:15">
      <c r="A81" s="5" t="s">
        <v>9</v>
      </c>
      <c r="B81" s="11">
        <v>43538</v>
      </c>
      <c r="C81" s="9" t="s">
        <v>19</v>
      </c>
      <c r="D81" s="5">
        <v>2</v>
      </c>
      <c r="E81" s="13">
        <v>16</v>
      </c>
      <c r="F81" s="9">
        <v>1</v>
      </c>
      <c r="G81" s="5">
        <v>8</v>
      </c>
      <c r="H81" s="5">
        <v>14</v>
      </c>
      <c r="I81" s="7">
        <v>65.77</v>
      </c>
      <c r="J81" s="10">
        <v>14.51</v>
      </c>
      <c r="K81" s="17">
        <f t="shared" si="2"/>
        <v>0.58040000000000003</v>
      </c>
      <c r="L81" s="22">
        <v>-22.161931168399899</v>
      </c>
      <c r="M81" s="22">
        <v>-51.624726800700003</v>
      </c>
      <c r="N81" s="20" t="s">
        <v>36</v>
      </c>
      <c r="O81" s="9"/>
    </row>
    <row r="82" spans="1:15">
      <c r="A82" s="5" t="s">
        <v>9</v>
      </c>
      <c r="B82" s="11">
        <v>43538</v>
      </c>
      <c r="C82" s="9" t="s">
        <v>19</v>
      </c>
      <c r="D82" s="5">
        <v>2</v>
      </c>
      <c r="E82" s="13">
        <v>16</v>
      </c>
      <c r="F82" s="9">
        <v>1</v>
      </c>
      <c r="G82" s="5">
        <v>9</v>
      </c>
      <c r="H82" s="5">
        <v>9</v>
      </c>
      <c r="I82" s="7">
        <v>111.1</v>
      </c>
      <c r="J82" s="10">
        <v>33.06</v>
      </c>
      <c r="K82" s="17">
        <f t="shared" si="2"/>
        <v>1.3224</v>
      </c>
      <c r="L82" s="22">
        <v>-22.161931168399899</v>
      </c>
      <c r="M82" s="22">
        <v>-51.624146174499899</v>
      </c>
      <c r="N82" s="20" t="s">
        <v>36</v>
      </c>
      <c r="O82" s="9"/>
    </row>
    <row r="83" spans="1:15">
      <c r="A83" s="5" t="s">
        <v>9</v>
      </c>
      <c r="B83" s="11">
        <v>43537</v>
      </c>
      <c r="C83" s="9" t="s">
        <v>13</v>
      </c>
      <c r="D83" s="5">
        <v>2</v>
      </c>
      <c r="E83" s="13">
        <v>3</v>
      </c>
      <c r="F83" s="9" t="s">
        <v>14</v>
      </c>
      <c r="G83" s="5">
        <v>1</v>
      </c>
      <c r="H83" s="5">
        <v>22</v>
      </c>
      <c r="I83" s="7">
        <v>161.72</v>
      </c>
      <c r="J83" s="10">
        <v>64.209999999999994</v>
      </c>
      <c r="K83" s="17">
        <f t="shared" si="2"/>
        <v>2.5683999999999996</v>
      </c>
      <c r="L83" s="22">
        <v>-22.165139168500001</v>
      </c>
      <c r="M83" s="22">
        <v>-51.657917626200003</v>
      </c>
      <c r="N83" s="19" t="s">
        <v>37</v>
      </c>
      <c r="O83" s="9"/>
    </row>
    <row r="84" spans="1:15">
      <c r="A84" s="5" t="s">
        <v>9</v>
      </c>
      <c r="B84" s="11">
        <v>43537</v>
      </c>
      <c r="C84" s="9" t="s">
        <v>13</v>
      </c>
      <c r="D84" s="5">
        <v>2</v>
      </c>
      <c r="E84" s="13">
        <v>3</v>
      </c>
      <c r="F84" s="9" t="s">
        <v>14</v>
      </c>
      <c r="G84" s="5">
        <v>2</v>
      </c>
      <c r="H84" s="5">
        <v>29</v>
      </c>
      <c r="I84" s="7">
        <v>205.13</v>
      </c>
      <c r="J84" s="10">
        <v>50.78</v>
      </c>
      <c r="K84" s="17">
        <f t="shared" si="2"/>
        <v>2.0312000000000001</v>
      </c>
      <c r="L84" s="22">
        <v>-22.165139168500001</v>
      </c>
      <c r="M84" s="22">
        <v>-51.657336999999899</v>
      </c>
      <c r="N84" s="19" t="s">
        <v>37</v>
      </c>
      <c r="O84" s="9"/>
    </row>
    <row r="85" spans="1:15">
      <c r="A85" s="5" t="s">
        <v>9</v>
      </c>
      <c r="B85" s="11">
        <v>43537</v>
      </c>
      <c r="C85" s="9" t="s">
        <v>13</v>
      </c>
      <c r="D85" s="5">
        <v>2</v>
      </c>
      <c r="E85" s="13">
        <v>3</v>
      </c>
      <c r="F85" s="9" t="s">
        <v>14</v>
      </c>
      <c r="G85" s="5">
        <v>3</v>
      </c>
      <c r="H85" s="5">
        <v>19</v>
      </c>
      <c r="I85" s="7">
        <v>246.51</v>
      </c>
      <c r="J85" s="10">
        <v>73.599999999999994</v>
      </c>
      <c r="K85" s="17">
        <f t="shared" si="2"/>
        <v>2.944</v>
      </c>
      <c r="L85" s="22">
        <v>-22.165139168500001</v>
      </c>
      <c r="M85" s="22">
        <v>-51.6567563738</v>
      </c>
      <c r="N85" s="19" t="s">
        <v>37</v>
      </c>
      <c r="O85" s="9"/>
    </row>
    <row r="86" spans="1:15">
      <c r="A86" s="5" t="s">
        <v>9</v>
      </c>
      <c r="B86" s="11">
        <v>43537</v>
      </c>
      <c r="C86" s="9" t="s">
        <v>13</v>
      </c>
      <c r="D86" s="5">
        <v>2</v>
      </c>
      <c r="E86" s="13">
        <v>3</v>
      </c>
      <c r="F86" s="9" t="s">
        <v>14</v>
      </c>
      <c r="G86" s="5">
        <v>4</v>
      </c>
      <c r="H86" s="5">
        <v>27</v>
      </c>
      <c r="I86" s="7">
        <v>210.25</v>
      </c>
      <c r="J86" s="10">
        <v>71.59</v>
      </c>
      <c r="K86" s="17">
        <f t="shared" si="2"/>
        <v>2.8635999999999999</v>
      </c>
      <c r="L86" s="22">
        <v>-22.1656929</v>
      </c>
      <c r="M86" s="22">
        <v>-51.657917626200003</v>
      </c>
      <c r="N86" s="19" t="s">
        <v>37</v>
      </c>
      <c r="O86" s="9"/>
    </row>
    <row r="87" spans="1:15">
      <c r="A87" s="5" t="s">
        <v>9</v>
      </c>
      <c r="B87" s="11">
        <v>43537</v>
      </c>
      <c r="C87" s="9" t="s">
        <v>13</v>
      </c>
      <c r="D87" s="5">
        <v>2</v>
      </c>
      <c r="E87" s="13">
        <v>3</v>
      </c>
      <c r="F87" s="9" t="s">
        <v>14</v>
      </c>
      <c r="G87" s="5">
        <v>5</v>
      </c>
      <c r="H87" s="5">
        <v>28</v>
      </c>
      <c r="I87" s="7">
        <v>281.02999999999997</v>
      </c>
      <c r="J87" s="10">
        <v>92.27</v>
      </c>
      <c r="K87" s="17">
        <f t="shared" si="2"/>
        <v>3.6907999999999999</v>
      </c>
      <c r="L87" s="22">
        <v>-22.1656929</v>
      </c>
      <c r="M87" s="22">
        <v>-51.657336999999899</v>
      </c>
      <c r="N87" s="19" t="s">
        <v>37</v>
      </c>
      <c r="O87" s="9"/>
    </row>
    <row r="88" spans="1:15">
      <c r="A88" s="5" t="s">
        <v>9</v>
      </c>
      <c r="B88" s="11">
        <v>43537</v>
      </c>
      <c r="C88" s="9" t="s">
        <v>13</v>
      </c>
      <c r="D88" s="5">
        <v>2</v>
      </c>
      <c r="E88" s="13">
        <v>3</v>
      </c>
      <c r="F88" s="9" t="s">
        <v>14</v>
      </c>
      <c r="G88" s="5">
        <v>6</v>
      </c>
      <c r="H88" s="5">
        <v>27</v>
      </c>
      <c r="I88" s="7">
        <v>176.14</v>
      </c>
      <c r="J88" s="10">
        <v>80.77</v>
      </c>
      <c r="K88" s="17">
        <f t="shared" si="2"/>
        <v>3.2307999999999999</v>
      </c>
      <c r="L88" s="22">
        <v>-22.1656929</v>
      </c>
      <c r="M88" s="22">
        <v>-51.6567563738</v>
      </c>
      <c r="N88" s="19" t="s">
        <v>37</v>
      </c>
      <c r="O88" s="9"/>
    </row>
    <row r="89" spans="1:15">
      <c r="A89" s="5" t="s">
        <v>9</v>
      </c>
      <c r="B89" s="11">
        <v>43537</v>
      </c>
      <c r="C89" s="9" t="s">
        <v>13</v>
      </c>
      <c r="D89" s="5">
        <v>2</v>
      </c>
      <c r="E89" s="13">
        <v>3</v>
      </c>
      <c r="F89" s="9" t="s">
        <v>14</v>
      </c>
      <c r="G89" s="5">
        <v>7</v>
      </c>
      <c r="H89" s="5">
        <v>18</v>
      </c>
      <c r="I89" s="7">
        <v>207.76</v>
      </c>
      <c r="J89" s="10">
        <v>70.86</v>
      </c>
      <c r="K89" s="17">
        <f t="shared" si="2"/>
        <v>2.8344</v>
      </c>
      <c r="L89" s="22">
        <v>-22.166246631500002</v>
      </c>
      <c r="M89" s="22">
        <v>-51.657917626200003</v>
      </c>
      <c r="N89" s="19" t="s">
        <v>37</v>
      </c>
      <c r="O89" s="9"/>
    </row>
    <row r="90" spans="1:15">
      <c r="A90" s="5" t="s">
        <v>9</v>
      </c>
      <c r="B90" s="11">
        <v>43537</v>
      </c>
      <c r="C90" s="9" t="s">
        <v>13</v>
      </c>
      <c r="D90" s="5">
        <v>2</v>
      </c>
      <c r="E90" s="13">
        <v>3</v>
      </c>
      <c r="F90" s="9" t="s">
        <v>14</v>
      </c>
      <c r="G90" s="5">
        <v>8</v>
      </c>
      <c r="H90" s="5">
        <v>23</v>
      </c>
      <c r="I90" s="7">
        <v>190.54</v>
      </c>
      <c r="J90" s="10">
        <v>56.31</v>
      </c>
      <c r="K90" s="17">
        <f t="shared" si="2"/>
        <v>2.2524000000000002</v>
      </c>
      <c r="L90" s="22">
        <v>-22.166246631500002</v>
      </c>
      <c r="M90" s="22">
        <v>-51.657336999999899</v>
      </c>
      <c r="N90" s="19" t="s">
        <v>37</v>
      </c>
      <c r="O90" s="9"/>
    </row>
    <row r="91" spans="1:15">
      <c r="A91" s="5" t="s">
        <v>9</v>
      </c>
      <c r="B91" s="11">
        <v>43537</v>
      </c>
      <c r="C91" s="9" t="s">
        <v>13</v>
      </c>
      <c r="D91" s="5">
        <v>2</v>
      </c>
      <c r="E91" s="13">
        <v>3</v>
      </c>
      <c r="F91" s="9" t="s">
        <v>14</v>
      </c>
      <c r="G91" s="5">
        <v>9</v>
      </c>
      <c r="H91" s="5">
        <v>15</v>
      </c>
      <c r="I91" s="7">
        <v>163.13</v>
      </c>
      <c r="J91" s="10">
        <v>70.12</v>
      </c>
      <c r="K91" s="17">
        <f t="shared" si="2"/>
        <v>2.8048000000000002</v>
      </c>
      <c r="L91" s="22">
        <v>-22.166246631500002</v>
      </c>
      <c r="M91" s="22">
        <v>-51.6567563738</v>
      </c>
      <c r="N91" s="19" t="s">
        <v>37</v>
      </c>
      <c r="O91" s="9"/>
    </row>
    <row r="92" spans="1:15">
      <c r="A92" s="5" t="s">
        <v>9</v>
      </c>
      <c r="B92" s="11">
        <v>43537</v>
      </c>
      <c r="C92" s="9" t="s">
        <v>15</v>
      </c>
      <c r="D92" s="5">
        <v>1</v>
      </c>
      <c r="E92" s="13">
        <v>3</v>
      </c>
      <c r="F92" s="9">
        <v>2</v>
      </c>
      <c r="G92" s="5">
        <v>1</v>
      </c>
      <c r="H92" s="5">
        <v>20</v>
      </c>
      <c r="I92" s="7">
        <v>108.71</v>
      </c>
      <c r="J92" s="10">
        <v>41.64</v>
      </c>
      <c r="K92" s="17">
        <f t="shared" si="2"/>
        <v>1.6656</v>
      </c>
      <c r="L92" s="22">
        <v>-22.167004668499899</v>
      </c>
      <c r="M92" s="22">
        <v>-51.659963226199899</v>
      </c>
      <c r="N92" s="19" t="s">
        <v>37</v>
      </c>
      <c r="O92" s="9"/>
    </row>
    <row r="93" spans="1:15">
      <c r="A93" s="5" t="s">
        <v>9</v>
      </c>
      <c r="B93" s="11">
        <v>43537</v>
      </c>
      <c r="C93" s="9" t="s">
        <v>15</v>
      </c>
      <c r="D93" s="5">
        <v>1</v>
      </c>
      <c r="E93" s="13">
        <v>3</v>
      </c>
      <c r="F93" s="9">
        <v>2</v>
      </c>
      <c r="G93" s="5">
        <v>2</v>
      </c>
      <c r="H93" s="5">
        <v>29</v>
      </c>
      <c r="I93" s="7">
        <v>177.53</v>
      </c>
      <c r="J93" s="10">
        <v>37.200000000000003</v>
      </c>
      <c r="K93" s="17">
        <f t="shared" si="2"/>
        <v>1.488</v>
      </c>
      <c r="L93" s="22">
        <v>-22.167004668499899</v>
      </c>
      <c r="M93" s="22">
        <v>-51.659382600000001</v>
      </c>
      <c r="N93" s="19" t="s">
        <v>37</v>
      </c>
      <c r="O93" s="9"/>
    </row>
    <row r="94" spans="1:15">
      <c r="A94" s="5" t="s">
        <v>9</v>
      </c>
      <c r="B94" s="11">
        <v>43537</v>
      </c>
      <c r="C94" s="9" t="s">
        <v>15</v>
      </c>
      <c r="D94" s="5">
        <v>1</v>
      </c>
      <c r="E94" s="13">
        <v>3</v>
      </c>
      <c r="F94" s="9">
        <v>2</v>
      </c>
      <c r="G94" s="5">
        <v>3</v>
      </c>
      <c r="H94" s="5">
        <v>8</v>
      </c>
      <c r="I94" s="7">
        <v>161.96</v>
      </c>
      <c r="J94" s="10">
        <v>38.24</v>
      </c>
      <c r="K94" s="17">
        <f t="shared" si="2"/>
        <v>1.5296000000000001</v>
      </c>
      <c r="L94" s="22">
        <v>-22.167004668499899</v>
      </c>
      <c r="M94" s="22">
        <v>-51.658801973800003</v>
      </c>
      <c r="N94" s="19" t="s">
        <v>37</v>
      </c>
      <c r="O94" s="9"/>
    </row>
    <row r="95" spans="1:15">
      <c r="A95" s="5" t="s">
        <v>9</v>
      </c>
      <c r="B95" s="11">
        <v>43537</v>
      </c>
      <c r="C95" s="9" t="s">
        <v>15</v>
      </c>
      <c r="D95" s="5">
        <v>1</v>
      </c>
      <c r="E95" s="13">
        <v>3</v>
      </c>
      <c r="F95" s="9">
        <v>2</v>
      </c>
      <c r="G95" s="5">
        <v>4</v>
      </c>
      <c r="H95" s="5">
        <v>31</v>
      </c>
      <c r="I95" s="7">
        <v>140.88999999999999</v>
      </c>
      <c r="J95" s="10">
        <v>65.22</v>
      </c>
      <c r="K95" s="17">
        <f t="shared" si="2"/>
        <v>2.6088</v>
      </c>
      <c r="L95" s="22">
        <v>-22.167558400000001</v>
      </c>
      <c r="M95" s="22">
        <v>-51.659963226199899</v>
      </c>
      <c r="N95" s="19" t="s">
        <v>37</v>
      </c>
      <c r="O95" s="9"/>
    </row>
    <row r="96" spans="1:15">
      <c r="A96" s="5" t="s">
        <v>9</v>
      </c>
      <c r="B96" s="11">
        <v>43537</v>
      </c>
      <c r="C96" s="9" t="s">
        <v>15</v>
      </c>
      <c r="D96" s="5">
        <v>1</v>
      </c>
      <c r="E96" s="13">
        <v>3</v>
      </c>
      <c r="F96" s="9">
        <v>2</v>
      </c>
      <c r="G96" s="5">
        <v>5</v>
      </c>
      <c r="H96" s="5">
        <v>25</v>
      </c>
      <c r="I96" s="7">
        <v>232.87</v>
      </c>
      <c r="J96" s="10">
        <v>98.17</v>
      </c>
      <c r="K96" s="17">
        <f t="shared" si="2"/>
        <v>3.9268000000000001</v>
      </c>
      <c r="L96" s="22">
        <v>-22.167558400000001</v>
      </c>
      <c r="M96" s="22">
        <v>-51.659382600000001</v>
      </c>
      <c r="N96" s="19" t="s">
        <v>37</v>
      </c>
      <c r="O96" s="9"/>
    </row>
    <row r="97" spans="1:15">
      <c r="A97" s="5" t="s">
        <v>9</v>
      </c>
      <c r="B97" s="11">
        <v>43537</v>
      </c>
      <c r="C97" s="9" t="s">
        <v>15</v>
      </c>
      <c r="D97" s="5">
        <v>1</v>
      </c>
      <c r="E97" s="13">
        <v>3</v>
      </c>
      <c r="F97" s="9">
        <v>2</v>
      </c>
      <c r="G97" s="5">
        <v>6</v>
      </c>
      <c r="H97" s="5">
        <v>31</v>
      </c>
      <c r="I97" s="7">
        <v>284.72000000000003</v>
      </c>
      <c r="J97" s="10">
        <v>94.35</v>
      </c>
      <c r="K97" s="17">
        <f t="shared" si="2"/>
        <v>3.774</v>
      </c>
      <c r="L97" s="22">
        <v>-22.167558400000001</v>
      </c>
      <c r="M97" s="22">
        <v>-51.658801973800003</v>
      </c>
      <c r="N97" s="19" t="s">
        <v>37</v>
      </c>
      <c r="O97" s="9"/>
    </row>
    <row r="98" spans="1:15">
      <c r="A98" s="5" t="s">
        <v>9</v>
      </c>
      <c r="B98" s="11">
        <v>43537</v>
      </c>
      <c r="C98" s="9" t="s">
        <v>15</v>
      </c>
      <c r="D98" s="5">
        <v>1</v>
      </c>
      <c r="E98" s="13">
        <v>3</v>
      </c>
      <c r="F98" s="9">
        <v>2</v>
      </c>
      <c r="G98" s="5">
        <v>7</v>
      </c>
      <c r="H98" s="5">
        <v>21</v>
      </c>
      <c r="I98" s="7">
        <v>121.33</v>
      </c>
      <c r="J98" s="10">
        <v>64.13</v>
      </c>
      <c r="K98" s="17">
        <f t="shared" si="2"/>
        <v>2.5651999999999999</v>
      </c>
      <c r="L98" s="22">
        <v>-22.1681121314999</v>
      </c>
      <c r="M98" s="22">
        <v>-51.659963226199899</v>
      </c>
      <c r="N98" s="19" t="s">
        <v>37</v>
      </c>
      <c r="O98" s="9"/>
    </row>
    <row r="99" spans="1:15">
      <c r="A99" s="5" t="s">
        <v>9</v>
      </c>
      <c r="B99" s="11">
        <v>43537</v>
      </c>
      <c r="C99" s="9" t="s">
        <v>15</v>
      </c>
      <c r="D99" s="5">
        <v>1</v>
      </c>
      <c r="E99" s="13">
        <v>3</v>
      </c>
      <c r="F99" s="9">
        <v>2</v>
      </c>
      <c r="G99" s="5">
        <v>8</v>
      </c>
      <c r="H99" s="5">
        <v>32</v>
      </c>
      <c r="I99" s="7">
        <v>340.27</v>
      </c>
      <c r="J99" s="10">
        <v>38</v>
      </c>
      <c r="K99" s="17">
        <f t="shared" si="2"/>
        <v>1.52</v>
      </c>
      <c r="L99" s="22">
        <v>-22.1681121314999</v>
      </c>
      <c r="M99" s="22">
        <v>-51.659382600000001</v>
      </c>
      <c r="N99" s="19" t="s">
        <v>37</v>
      </c>
      <c r="O99" s="9"/>
    </row>
    <row r="100" spans="1:15">
      <c r="A100" s="5" t="s">
        <v>9</v>
      </c>
      <c r="B100" s="11">
        <v>43537</v>
      </c>
      <c r="C100" s="9" t="s">
        <v>15</v>
      </c>
      <c r="D100" s="5">
        <v>1</v>
      </c>
      <c r="E100" s="13">
        <v>3</v>
      </c>
      <c r="F100" s="9">
        <v>2</v>
      </c>
      <c r="G100" s="5">
        <v>9</v>
      </c>
      <c r="H100" s="5">
        <v>31</v>
      </c>
      <c r="I100" s="7">
        <v>163.68</v>
      </c>
      <c r="J100" s="10">
        <v>44.65</v>
      </c>
      <c r="K100" s="17">
        <f t="shared" si="2"/>
        <v>1.786</v>
      </c>
      <c r="L100" s="22">
        <v>-22.1681121314999</v>
      </c>
      <c r="M100" s="22">
        <v>-51.658801973800003</v>
      </c>
      <c r="N100" s="19" t="s">
        <v>37</v>
      </c>
      <c r="O100" s="9"/>
    </row>
    <row r="101" spans="1:15">
      <c r="A101" s="5" t="s">
        <v>9</v>
      </c>
      <c r="B101" s="11">
        <v>43538</v>
      </c>
      <c r="C101" s="9" t="s">
        <v>16</v>
      </c>
      <c r="D101" s="5">
        <v>2</v>
      </c>
      <c r="E101" s="13">
        <v>3</v>
      </c>
      <c r="F101" s="9">
        <v>5</v>
      </c>
      <c r="G101" s="5">
        <v>1</v>
      </c>
      <c r="H101" s="5">
        <v>10</v>
      </c>
      <c r="I101" s="10">
        <v>120.37</v>
      </c>
      <c r="J101" s="10">
        <v>35.15</v>
      </c>
      <c r="K101" s="17">
        <f t="shared" si="2"/>
        <v>1.4059999999999999</v>
      </c>
      <c r="L101" s="22">
        <v>-22.169237945100001</v>
      </c>
      <c r="M101" s="22">
        <v>-51.6615806261999</v>
      </c>
      <c r="N101" s="20" t="s">
        <v>36</v>
      </c>
      <c r="O101" s="9"/>
    </row>
    <row r="102" spans="1:15">
      <c r="A102" s="5" t="s">
        <v>9</v>
      </c>
      <c r="B102" s="11">
        <v>43538</v>
      </c>
      <c r="C102" s="9" t="s">
        <v>16</v>
      </c>
      <c r="D102" s="5">
        <v>2</v>
      </c>
      <c r="E102" s="13">
        <v>3</v>
      </c>
      <c r="F102" s="9">
        <v>5</v>
      </c>
      <c r="G102" s="5">
        <v>2</v>
      </c>
      <c r="H102" s="5">
        <v>13</v>
      </c>
      <c r="I102" s="10">
        <v>114.59</v>
      </c>
      <c r="J102" s="10">
        <v>33.409999999999997</v>
      </c>
      <c r="K102" s="17">
        <f t="shared" si="2"/>
        <v>1.3363999999999998</v>
      </c>
      <c r="L102" s="22">
        <v>-22.169237945100001</v>
      </c>
      <c r="M102" s="22">
        <v>-51.661000000000001</v>
      </c>
      <c r="N102" s="20" t="s">
        <v>36</v>
      </c>
      <c r="O102" s="9"/>
    </row>
    <row r="103" spans="1:15">
      <c r="A103" s="5" t="s">
        <v>9</v>
      </c>
      <c r="B103" s="11">
        <v>43538</v>
      </c>
      <c r="C103" s="9" t="s">
        <v>16</v>
      </c>
      <c r="D103" s="5">
        <v>2</v>
      </c>
      <c r="E103" s="13">
        <v>3</v>
      </c>
      <c r="F103" s="9">
        <v>5</v>
      </c>
      <c r="G103" s="5">
        <v>3</v>
      </c>
      <c r="H103" s="5">
        <v>12</v>
      </c>
      <c r="I103" s="7">
        <v>128.1</v>
      </c>
      <c r="J103" s="10">
        <v>29.58</v>
      </c>
      <c r="K103" s="17">
        <f t="shared" si="2"/>
        <v>1.1832</v>
      </c>
      <c r="L103" s="22">
        <v>-22.169237945100001</v>
      </c>
      <c r="M103" s="22">
        <v>-51.660419373800003</v>
      </c>
      <c r="N103" s="20" t="s">
        <v>36</v>
      </c>
      <c r="O103" s="9"/>
    </row>
    <row r="104" spans="1:15">
      <c r="A104" s="5" t="s">
        <v>9</v>
      </c>
      <c r="B104" s="11">
        <v>43538</v>
      </c>
      <c r="C104" s="9" t="s">
        <v>16</v>
      </c>
      <c r="D104" s="5">
        <v>2</v>
      </c>
      <c r="E104" s="13">
        <v>3</v>
      </c>
      <c r="F104" s="9">
        <v>5</v>
      </c>
      <c r="G104" s="5">
        <v>4</v>
      </c>
      <c r="H104" s="5">
        <v>15</v>
      </c>
      <c r="I104" s="10">
        <v>126.61</v>
      </c>
      <c r="J104" s="10">
        <v>33.29</v>
      </c>
      <c r="K104" s="17">
        <f t="shared" si="2"/>
        <v>1.3315999999999999</v>
      </c>
      <c r="L104" s="22">
        <v>-22.169791676700001</v>
      </c>
      <c r="M104" s="22">
        <v>-51.6615806261999</v>
      </c>
      <c r="N104" s="20" t="s">
        <v>36</v>
      </c>
      <c r="O104" s="9"/>
    </row>
    <row r="105" spans="1:15">
      <c r="A105" s="5" t="s">
        <v>9</v>
      </c>
      <c r="B105" s="11">
        <v>43538</v>
      </c>
      <c r="C105" s="9" t="s">
        <v>16</v>
      </c>
      <c r="D105" s="5">
        <v>2</v>
      </c>
      <c r="E105" s="13">
        <v>3</v>
      </c>
      <c r="F105" s="9">
        <v>5</v>
      </c>
      <c r="G105" s="5">
        <v>5</v>
      </c>
      <c r="H105" s="5">
        <v>14</v>
      </c>
      <c r="I105" s="10">
        <v>136.4</v>
      </c>
      <c r="J105" s="10">
        <v>33.6</v>
      </c>
      <c r="K105" s="17">
        <f t="shared" si="2"/>
        <v>1.3440000000000001</v>
      </c>
      <c r="L105" s="22">
        <v>-22.169791676700001</v>
      </c>
      <c r="M105" s="22">
        <v>-51.661000000000001</v>
      </c>
      <c r="N105" s="20" t="s">
        <v>36</v>
      </c>
      <c r="O105" s="9"/>
    </row>
    <row r="106" spans="1:15">
      <c r="A106" s="5" t="s">
        <v>9</v>
      </c>
      <c r="B106" s="11">
        <v>43538</v>
      </c>
      <c r="C106" s="9" t="s">
        <v>16</v>
      </c>
      <c r="D106" s="5">
        <v>2</v>
      </c>
      <c r="E106" s="13">
        <v>3</v>
      </c>
      <c r="F106" s="9">
        <v>5</v>
      </c>
      <c r="G106" s="5">
        <v>6</v>
      </c>
      <c r="H106" s="5">
        <v>11</v>
      </c>
      <c r="I106" s="10">
        <v>127.78</v>
      </c>
      <c r="J106" s="10">
        <v>46.68</v>
      </c>
      <c r="K106" s="17">
        <f t="shared" si="2"/>
        <v>1.8672</v>
      </c>
      <c r="L106" s="22">
        <v>-22.169791676700001</v>
      </c>
      <c r="M106" s="22">
        <v>-51.660419373800003</v>
      </c>
      <c r="N106" s="20" t="s">
        <v>36</v>
      </c>
      <c r="O106" s="9"/>
    </row>
    <row r="107" spans="1:15">
      <c r="A107" s="5" t="s">
        <v>9</v>
      </c>
      <c r="B107" s="11">
        <v>43538</v>
      </c>
      <c r="C107" s="9" t="s">
        <v>16</v>
      </c>
      <c r="D107" s="5">
        <v>2</v>
      </c>
      <c r="E107" s="13">
        <v>3</v>
      </c>
      <c r="F107" s="9">
        <v>5</v>
      </c>
      <c r="G107" s="5">
        <v>7</v>
      </c>
      <c r="H107" s="5">
        <v>15</v>
      </c>
      <c r="I107" s="10">
        <v>86.25</v>
      </c>
      <c r="J107" s="10">
        <v>24.66</v>
      </c>
      <c r="K107" s="17">
        <f t="shared" si="2"/>
        <v>0.98640000000000005</v>
      </c>
      <c r="L107" s="22">
        <v>-22.1703454081999</v>
      </c>
      <c r="M107" s="22">
        <v>-51.6615806261999</v>
      </c>
      <c r="N107" s="20" t="s">
        <v>36</v>
      </c>
      <c r="O107" s="9"/>
    </row>
    <row r="108" spans="1:15">
      <c r="A108" s="5" t="s">
        <v>9</v>
      </c>
      <c r="B108" s="11">
        <v>43538</v>
      </c>
      <c r="C108" s="9" t="s">
        <v>16</v>
      </c>
      <c r="D108" s="5">
        <v>2</v>
      </c>
      <c r="E108" s="13">
        <v>3</v>
      </c>
      <c r="F108" s="9">
        <v>5</v>
      </c>
      <c r="G108" s="5">
        <v>8</v>
      </c>
      <c r="H108" s="5">
        <v>12</v>
      </c>
      <c r="I108" s="10">
        <v>112.54</v>
      </c>
      <c r="J108" s="10">
        <v>35.53</v>
      </c>
      <c r="K108" s="17">
        <f t="shared" si="2"/>
        <v>1.4212</v>
      </c>
      <c r="L108" s="22">
        <v>-22.1703454081999</v>
      </c>
      <c r="M108" s="22">
        <v>-51.661000000000001</v>
      </c>
      <c r="N108" s="20" t="s">
        <v>36</v>
      </c>
      <c r="O108" s="9"/>
    </row>
    <row r="109" spans="1:15">
      <c r="A109" s="5" t="s">
        <v>9</v>
      </c>
      <c r="B109" s="11">
        <v>43538</v>
      </c>
      <c r="C109" s="9" t="s">
        <v>16</v>
      </c>
      <c r="D109" s="5">
        <v>2</v>
      </c>
      <c r="E109" s="13">
        <v>3</v>
      </c>
      <c r="F109" s="9">
        <v>5</v>
      </c>
      <c r="G109" s="5">
        <v>9</v>
      </c>
      <c r="H109" s="9">
        <v>11</v>
      </c>
      <c r="I109" s="10">
        <v>122.57</v>
      </c>
      <c r="J109" s="10">
        <v>30</v>
      </c>
      <c r="K109" s="17">
        <f t="shared" si="2"/>
        <v>1.2</v>
      </c>
      <c r="L109" s="22">
        <v>-22.1703454081999</v>
      </c>
      <c r="M109" s="22">
        <v>-51.660419373800003</v>
      </c>
      <c r="N109" s="20" t="s">
        <v>36</v>
      </c>
      <c r="O109" s="9"/>
    </row>
    <row r="110" spans="1:15">
      <c r="A110" s="5" t="s">
        <v>9</v>
      </c>
      <c r="B110" s="11">
        <v>43538</v>
      </c>
      <c r="C110" s="9" t="s">
        <v>17</v>
      </c>
      <c r="D110" s="5">
        <v>1</v>
      </c>
      <c r="E110" s="13">
        <v>3</v>
      </c>
      <c r="F110" s="9" t="s">
        <v>18</v>
      </c>
      <c r="G110" s="5">
        <v>1</v>
      </c>
      <c r="H110" s="5">
        <v>10</v>
      </c>
      <c r="I110" s="10">
        <v>117.4</v>
      </c>
      <c r="J110" s="10">
        <v>36.75</v>
      </c>
      <c r="K110" s="17">
        <f t="shared" si="2"/>
        <v>1.47</v>
      </c>
      <c r="L110" s="22">
        <v>-22.171321268500002</v>
      </c>
      <c r="M110" s="22">
        <v>-51.664122626199898</v>
      </c>
      <c r="N110" s="20" t="s">
        <v>36</v>
      </c>
      <c r="O110" s="9"/>
    </row>
    <row r="111" spans="1:15">
      <c r="A111" s="5" t="s">
        <v>9</v>
      </c>
      <c r="B111" s="11">
        <v>43538</v>
      </c>
      <c r="C111" s="9" t="s">
        <v>17</v>
      </c>
      <c r="D111" s="5">
        <v>1</v>
      </c>
      <c r="E111" s="13">
        <v>3</v>
      </c>
      <c r="F111" s="9" t="s">
        <v>18</v>
      </c>
      <c r="G111" s="5">
        <v>2</v>
      </c>
      <c r="H111" s="5">
        <v>9</v>
      </c>
      <c r="I111" s="10">
        <v>90.85</v>
      </c>
      <c r="J111" s="10">
        <v>25.32</v>
      </c>
      <c r="K111" s="17">
        <f t="shared" si="2"/>
        <v>1.0127999999999999</v>
      </c>
      <c r="L111" s="22">
        <v>-22.171321268500002</v>
      </c>
      <c r="M111" s="22">
        <v>-51.663542</v>
      </c>
      <c r="N111" s="20" t="s">
        <v>36</v>
      </c>
      <c r="O111" s="9"/>
    </row>
    <row r="112" spans="1:15">
      <c r="A112" s="5" t="s">
        <v>9</v>
      </c>
      <c r="B112" s="11">
        <v>43538</v>
      </c>
      <c r="C112" s="9" t="s">
        <v>17</v>
      </c>
      <c r="D112" s="5">
        <v>1</v>
      </c>
      <c r="E112" s="13">
        <v>3</v>
      </c>
      <c r="F112" s="9" t="s">
        <v>18</v>
      </c>
      <c r="G112" s="5">
        <v>3</v>
      </c>
      <c r="H112" s="5">
        <v>11</v>
      </c>
      <c r="I112" s="10">
        <v>126.15</v>
      </c>
      <c r="J112" s="10">
        <v>37.369999999999997</v>
      </c>
      <c r="K112" s="17">
        <f t="shared" si="2"/>
        <v>1.4947999999999999</v>
      </c>
      <c r="L112" s="22">
        <v>-22.171321268500002</v>
      </c>
      <c r="M112" s="22">
        <v>-51.662961373800002</v>
      </c>
      <c r="N112" s="20" t="s">
        <v>36</v>
      </c>
      <c r="O112" s="9"/>
    </row>
    <row r="113" spans="1:15">
      <c r="A113" s="5" t="s">
        <v>9</v>
      </c>
      <c r="B113" s="11">
        <v>43538</v>
      </c>
      <c r="C113" s="9" t="s">
        <v>17</v>
      </c>
      <c r="D113" s="5">
        <v>1</v>
      </c>
      <c r="E113" s="13">
        <v>3</v>
      </c>
      <c r="F113" s="9" t="s">
        <v>18</v>
      </c>
      <c r="G113" s="5">
        <v>4</v>
      </c>
      <c r="H113" s="5">
        <v>14</v>
      </c>
      <c r="I113" s="10">
        <v>162.41999999999999</v>
      </c>
      <c r="J113" s="10">
        <v>47.92</v>
      </c>
      <c r="K113" s="17">
        <f t="shared" si="2"/>
        <v>1.9168000000000001</v>
      </c>
      <c r="L113" s="22">
        <v>-22.171875</v>
      </c>
      <c r="M113" s="22">
        <v>-51.664122626199898</v>
      </c>
      <c r="N113" s="20" t="s">
        <v>36</v>
      </c>
      <c r="O113" s="9"/>
    </row>
    <row r="114" spans="1:15">
      <c r="A114" s="5" t="s">
        <v>9</v>
      </c>
      <c r="B114" s="11">
        <v>43538</v>
      </c>
      <c r="C114" s="9" t="s">
        <v>17</v>
      </c>
      <c r="D114" s="5">
        <v>1</v>
      </c>
      <c r="E114" s="13">
        <v>3</v>
      </c>
      <c r="F114" s="9" t="s">
        <v>18</v>
      </c>
      <c r="G114" s="5">
        <v>5</v>
      </c>
      <c r="H114" s="5">
        <v>10</v>
      </c>
      <c r="I114" s="10">
        <v>50.41</v>
      </c>
      <c r="J114" s="10">
        <v>12.33</v>
      </c>
      <c r="K114" s="17">
        <f t="shared" si="2"/>
        <v>0.49320000000000003</v>
      </c>
      <c r="L114" s="22">
        <v>-22.171875</v>
      </c>
      <c r="M114" s="22">
        <v>-51.663542</v>
      </c>
      <c r="N114" s="20" t="s">
        <v>36</v>
      </c>
      <c r="O114" s="9"/>
    </row>
    <row r="115" spans="1:15">
      <c r="A115" s="5" t="s">
        <v>9</v>
      </c>
      <c r="B115" s="11">
        <v>43538</v>
      </c>
      <c r="C115" s="9" t="s">
        <v>17</v>
      </c>
      <c r="D115" s="5">
        <v>1</v>
      </c>
      <c r="E115" s="13">
        <v>3</v>
      </c>
      <c r="F115" s="9" t="s">
        <v>18</v>
      </c>
      <c r="G115" s="5">
        <v>6</v>
      </c>
      <c r="H115" s="5">
        <v>10</v>
      </c>
      <c r="I115" s="10">
        <v>109.2</v>
      </c>
      <c r="J115" s="10">
        <v>37.01</v>
      </c>
      <c r="K115" s="17">
        <f t="shared" si="2"/>
        <v>1.4803999999999999</v>
      </c>
      <c r="L115" s="22">
        <v>-22.171875</v>
      </c>
      <c r="M115" s="22">
        <v>-51.662961373800002</v>
      </c>
      <c r="N115" s="20" t="s">
        <v>36</v>
      </c>
      <c r="O115" s="9"/>
    </row>
    <row r="116" spans="1:15">
      <c r="A116" s="5" t="s">
        <v>9</v>
      </c>
      <c r="B116" s="11">
        <v>43538</v>
      </c>
      <c r="C116" s="9" t="s">
        <v>17</v>
      </c>
      <c r="D116" s="5">
        <v>1</v>
      </c>
      <c r="E116" s="13">
        <v>3</v>
      </c>
      <c r="F116" s="9" t="s">
        <v>18</v>
      </c>
      <c r="G116" s="5">
        <v>7</v>
      </c>
      <c r="H116" s="5">
        <v>7</v>
      </c>
      <c r="I116" s="10">
        <v>52.47</v>
      </c>
      <c r="J116" s="10">
        <v>15.66</v>
      </c>
      <c r="K116" s="17">
        <f t="shared" si="2"/>
        <v>0.62639999999999996</v>
      </c>
      <c r="L116" s="22">
        <v>-22.172428731499899</v>
      </c>
      <c r="M116" s="22">
        <v>-51.664122626199898</v>
      </c>
      <c r="N116" s="20" t="s">
        <v>36</v>
      </c>
      <c r="O116" s="9"/>
    </row>
    <row r="117" spans="1:15">
      <c r="A117" s="5" t="s">
        <v>9</v>
      </c>
      <c r="B117" s="11">
        <v>43538</v>
      </c>
      <c r="C117" s="9" t="s">
        <v>17</v>
      </c>
      <c r="D117" s="5">
        <v>1</v>
      </c>
      <c r="E117" s="13">
        <v>3</v>
      </c>
      <c r="F117" s="9" t="s">
        <v>18</v>
      </c>
      <c r="G117" s="5">
        <v>8</v>
      </c>
      <c r="H117" s="5">
        <v>9</v>
      </c>
      <c r="I117" s="10">
        <v>47.6</v>
      </c>
      <c r="J117" s="10">
        <v>12.77</v>
      </c>
      <c r="K117" s="17">
        <f t="shared" si="2"/>
        <v>0.51080000000000003</v>
      </c>
      <c r="L117" s="22">
        <v>-22.172428731499899</v>
      </c>
      <c r="M117" s="22">
        <v>-51.663542</v>
      </c>
      <c r="N117" s="20" t="s">
        <v>36</v>
      </c>
      <c r="O117" s="9"/>
    </row>
    <row r="118" spans="1:15">
      <c r="A118" s="5" t="s">
        <v>9</v>
      </c>
      <c r="B118" s="11">
        <v>43538</v>
      </c>
      <c r="C118" s="9" t="s">
        <v>17</v>
      </c>
      <c r="D118" s="5">
        <v>1</v>
      </c>
      <c r="E118" s="13">
        <v>3</v>
      </c>
      <c r="F118" s="9" t="s">
        <v>18</v>
      </c>
      <c r="G118" s="5">
        <v>9</v>
      </c>
      <c r="H118" s="5">
        <v>10</v>
      </c>
      <c r="I118" s="10">
        <v>75.5</v>
      </c>
      <c r="J118" s="10">
        <v>27.11</v>
      </c>
      <c r="K118" s="17">
        <f t="shared" si="2"/>
        <v>1.0844</v>
      </c>
      <c r="L118" s="22">
        <v>-22.172428731499899</v>
      </c>
      <c r="M118" s="22">
        <v>-51.662961373800002</v>
      </c>
      <c r="N118" s="20" t="s">
        <v>36</v>
      </c>
      <c r="O118" s="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showGridLines="0" tabSelected="1" workbookViewId="0">
      <selection activeCell="B20" sqref="B20"/>
    </sheetView>
  </sheetViews>
  <sheetFormatPr defaultRowHeight="15"/>
  <cols>
    <col min="1" max="1" width="14" bestFit="1" customWidth="1"/>
    <col min="2" max="2" width="90.42578125" bestFit="1" customWidth="1"/>
    <col min="3" max="3" width="20.7109375" bestFit="1" customWidth="1"/>
  </cols>
  <sheetData>
    <row r="1" spans="1:2" ht="15.75" thickBot="1">
      <c r="A1" s="23" t="s">
        <v>38</v>
      </c>
      <c r="B1" s="24" t="s">
        <v>39</v>
      </c>
    </row>
    <row r="2" spans="1:2">
      <c r="A2" s="25" t="s">
        <v>23</v>
      </c>
      <c r="B2" s="26" t="s">
        <v>40</v>
      </c>
    </row>
    <row r="3" spans="1:2">
      <c r="A3" s="27" t="s">
        <v>24</v>
      </c>
      <c r="B3" s="28" t="s">
        <v>41</v>
      </c>
    </row>
    <row r="4" spans="1:2">
      <c r="A4" s="27" t="s">
        <v>25</v>
      </c>
      <c r="B4" s="28" t="s">
        <v>42</v>
      </c>
    </row>
    <row r="5" spans="1:2">
      <c r="A5" s="27" t="s">
        <v>26</v>
      </c>
      <c r="B5" s="28" t="s">
        <v>43</v>
      </c>
    </row>
    <row r="6" spans="1:2">
      <c r="A6" s="27" t="s">
        <v>27</v>
      </c>
      <c r="B6" s="28" t="s">
        <v>44</v>
      </c>
    </row>
    <row r="7" spans="1:2">
      <c r="A7" s="27" t="s">
        <v>0</v>
      </c>
      <c r="B7" s="28" t="s">
        <v>45</v>
      </c>
    </row>
    <row r="8" spans="1:2">
      <c r="A8" s="27" t="s">
        <v>28</v>
      </c>
      <c r="B8" s="28" t="s">
        <v>46</v>
      </c>
    </row>
    <row r="9" spans="1:2">
      <c r="A9" s="27" t="s">
        <v>29</v>
      </c>
      <c r="B9" s="28" t="s">
        <v>47</v>
      </c>
    </row>
    <row r="10" spans="1:2">
      <c r="A10" s="27" t="s">
        <v>30</v>
      </c>
      <c r="B10" s="28" t="s">
        <v>48</v>
      </c>
    </row>
    <row r="11" spans="1:2">
      <c r="A11" s="29" t="s">
        <v>31</v>
      </c>
      <c r="B11" s="28" t="s">
        <v>49</v>
      </c>
    </row>
    <row r="12" spans="1:2">
      <c r="A12" s="29" t="s">
        <v>32</v>
      </c>
      <c r="B12" s="28" t="s">
        <v>50</v>
      </c>
    </row>
    <row r="13" spans="1:2">
      <c r="A13" s="27" t="s">
        <v>1</v>
      </c>
      <c r="B13" s="28" t="s">
        <v>51</v>
      </c>
    </row>
    <row r="14" spans="1:2">
      <c r="A14" s="27" t="s">
        <v>2</v>
      </c>
      <c r="B14" s="28" t="s">
        <v>52</v>
      </c>
    </row>
    <row r="15" spans="1:2">
      <c r="A15" s="30" t="s">
        <v>33</v>
      </c>
      <c r="B15" s="31" t="s">
        <v>53</v>
      </c>
    </row>
    <row r="16" spans="1:2" ht="15.75" thickBot="1">
      <c r="A16" s="32" t="s">
        <v>34</v>
      </c>
      <c r="B16" s="33" t="s">
        <v>54</v>
      </c>
    </row>
    <row r="22" spans="1:3" ht="15.75" thickBot="1"/>
    <row r="23" spans="1:3" ht="15.75" thickBot="1">
      <c r="A23" s="23" t="s">
        <v>23</v>
      </c>
      <c r="B23" s="24" t="s">
        <v>55</v>
      </c>
      <c r="C23" s="34" t="s">
        <v>56</v>
      </c>
    </row>
    <row r="24" spans="1:3">
      <c r="A24" s="35">
        <v>1</v>
      </c>
      <c r="B24" s="36" t="s">
        <v>57</v>
      </c>
      <c r="C24" s="37">
        <v>1</v>
      </c>
    </row>
    <row r="25" spans="1:3">
      <c r="A25" s="38">
        <v>1</v>
      </c>
      <c r="B25" s="39" t="s">
        <v>58</v>
      </c>
      <c r="C25" s="40">
        <v>2</v>
      </c>
    </row>
    <row r="26" spans="1:3">
      <c r="A26" s="38">
        <v>1</v>
      </c>
      <c r="B26" s="39" t="s">
        <v>59</v>
      </c>
      <c r="C26" s="40">
        <v>3</v>
      </c>
    </row>
    <row r="27" spans="1:3">
      <c r="A27" s="38">
        <v>2</v>
      </c>
      <c r="B27" s="39" t="s">
        <v>60</v>
      </c>
      <c r="C27" s="40">
        <v>1</v>
      </c>
    </row>
    <row r="28" spans="1:3" ht="15.75" thickBot="1">
      <c r="A28" s="41">
        <v>2</v>
      </c>
      <c r="B28" s="42" t="s">
        <v>61</v>
      </c>
      <c r="C28" s="43">
        <v>2</v>
      </c>
    </row>
    <row r="29" spans="1:3">
      <c r="A29" s="44" t="s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Biomass</vt:lpstr>
      <vt:lpstr>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julianne.oliveira</dc:creator>
  <cp:lastModifiedBy>julianne.oliveira</cp:lastModifiedBy>
  <dcterms:created xsi:type="dcterms:W3CDTF">2020-02-03T14:47:57Z</dcterms:created>
  <dcterms:modified xsi:type="dcterms:W3CDTF">2020-02-04T16:58:21Z</dcterms:modified>
</cp:coreProperties>
</file>